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hp\Downloads\"/>
    </mc:Choice>
  </mc:AlternateContent>
  <xr:revisionPtr revIDLastSave="0" documentId="8_{6B85DA8B-4BA8-40B8-A10C-6B06CB615624}" xr6:coauthVersionLast="47" xr6:coauthVersionMax="47" xr10:uidLastSave="{00000000-0000-0000-0000-000000000000}"/>
  <bookViews>
    <workbookView xWindow="-110" yWindow="-110" windowWidth="19420" windowHeight="10300" xr2:uid="{00000000-000D-0000-FFFF-FFFF00000000}"/>
  </bookViews>
  <sheets>
    <sheet name="AI_Dashboard" sheetId="8" r:id="rId1"/>
    <sheet name="Raw Data" sheetId="2" r:id="rId2"/>
  </sheets>
  <definedNames>
    <definedName name="Slicer_Region">#N/A</definedName>
  </definedNames>
  <calcPr calcId="191029"/>
  <pivotCaches>
    <pivotCache cacheId="2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 i="8" l="1"/>
  <c r="H6" i="8" s="1"/>
  <c r="B6" i="8"/>
</calcChain>
</file>

<file path=xl/sharedStrings.xml><?xml version="1.0" encoding="utf-8"?>
<sst xmlns="http://schemas.openxmlformats.org/spreadsheetml/2006/main" count="9020" uniqueCount="1786">
  <si>
    <t>Total Sales</t>
  </si>
  <si>
    <t>Total Profit</t>
  </si>
  <si>
    <t>Category</t>
  </si>
  <si>
    <t>Furniture</t>
  </si>
  <si>
    <t>Office Supplies</t>
  </si>
  <si>
    <t>Technology</t>
  </si>
  <si>
    <t>Order_ID</t>
  </si>
  <si>
    <t>Order_Date</t>
  </si>
  <si>
    <t>Region</t>
  </si>
  <si>
    <t>Segment</t>
  </si>
  <si>
    <t>Sub_Category</t>
  </si>
  <si>
    <t>Sales</t>
  </si>
  <si>
    <t>Quantity</t>
  </si>
  <si>
    <t>Profit</t>
  </si>
  <si>
    <t>ORD-1000</t>
  </si>
  <si>
    <t>2025-01-01</t>
  </si>
  <si>
    <t>East</t>
  </si>
  <si>
    <t>Consumer</t>
  </si>
  <si>
    <t>Tables</t>
  </si>
  <si>
    <t>ORD-1001</t>
  </si>
  <si>
    <t>Paper</t>
  </si>
  <si>
    <t>ORD-1002</t>
  </si>
  <si>
    <t>West</t>
  </si>
  <si>
    <t>Corporate</t>
  </si>
  <si>
    <t>Storage</t>
  </si>
  <si>
    <t>ORD-1003</t>
  </si>
  <si>
    <t>South</t>
  </si>
  <si>
    <t>Chairs</t>
  </si>
  <si>
    <t>ORD-1004</t>
  </si>
  <si>
    <t>Accessories</t>
  </si>
  <si>
    <t>ORD-1005</t>
  </si>
  <si>
    <t>Phones</t>
  </si>
  <si>
    <t>ORD-1006</t>
  </si>
  <si>
    <t>2025-01-02</t>
  </si>
  <si>
    <t>North</t>
  </si>
  <si>
    <t>ORD-1007</t>
  </si>
  <si>
    <t>ORD-1008</t>
  </si>
  <si>
    <t>ORD-1009</t>
  </si>
  <si>
    <t>Home Office</t>
  </si>
  <si>
    <t>Binders</t>
  </si>
  <si>
    <t>ORD-1010</t>
  </si>
  <si>
    <t>Laptops</t>
  </si>
  <si>
    <t>ORD-1011</t>
  </si>
  <si>
    <t>ORD-1012</t>
  </si>
  <si>
    <t>2025-01-03</t>
  </si>
  <si>
    <t>ORD-1013</t>
  </si>
  <si>
    <t>ORD-1014</t>
  </si>
  <si>
    <t>ORD-1015</t>
  </si>
  <si>
    <t>ORD-1016</t>
  </si>
  <si>
    <t>Bookcases</t>
  </si>
  <si>
    <t>ORD-1017</t>
  </si>
  <si>
    <t>ORD-1018</t>
  </si>
  <si>
    <t>2025-01-04</t>
  </si>
  <si>
    <t>ORD-1019</t>
  </si>
  <si>
    <t>ORD-1020</t>
  </si>
  <si>
    <t>ORD-1021</t>
  </si>
  <si>
    <t>ORD-1022</t>
  </si>
  <si>
    <t>ORD-1023</t>
  </si>
  <si>
    <t>ORD-1024</t>
  </si>
  <si>
    <t>2025-01-05</t>
  </si>
  <si>
    <t>ORD-1025</t>
  </si>
  <si>
    <t>ORD-1026</t>
  </si>
  <si>
    <t>ORD-1027</t>
  </si>
  <si>
    <t>ORD-1028</t>
  </si>
  <si>
    <t>ORD-1029</t>
  </si>
  <si>
    <t>ORD-1030</t>
  </si>
  <si>
    <t>2025-01-06</t>
  </si>
  <si>
    <t>ORD-1031</t>
  </si>
  <si>
    <t>ORD-1032</t>
  </si>
  <si>
    <t>ORD-1033</t>
  </si>
  <si>
    <t>ORD-1034</t>
  </si>
  <si>
    <t>ORD-1035</t>
  </si>
  <si>
    <t>ORD-1036</t>
  </si>
  <si>
    <t>2025-01-07</t>
  </si>
  <si>
    <t>ORD-1037</t>
  </si>
  <si>
    <t>ORD-1038</t>
  </si>
  <si>
    <t>ORD-1039</t>
  </si>
  <si>
    <t>ORD-1040</t>
  </si>
  <si>
    <t>ORD-1041</t>
  </si>
  <si>
    <t>ORD-1042</t>
  </si>
  <si>
    <t>2025-01-08</t>
  </si>
  <si>
    <t>ORD-1043</t>
  </si>
  <si>
    <t>ORD-1044</t>
  </si>
  <si>
    <t>ORD-1045</t>
  </si>
  <si>
    <t>ORD-1046</t>
  </si>
  <si>
    <t>ORD-1047</t>
  </si>
  <si>
    <t>ORD-1048</t>
  </si>
  <si>
    <t>2025-01-09</t>
  </si>
  <si>
    <t>ORD-1049</t>
  </si>
  <si>
    <t>ORD-1050</t>
  </si>
  <si>
    <t>ORD-1051</t>
  </si>
  <si>
    <t>ORD-1052</t>
  </si>
  <si>
    <t>ORD-1053</t>
  </si>
  <si>
    <t>ORD-1054</t>
  </si>
  <si>
    <t>2025-01-10</t>
  </si>
  <si>
    <t>ORD-1055</t>
  </si>
  <si>
    <t>ORD-1056</t>
  </si>
  <si>
    <t>ORD-1057</t>
  </si>
  <si>
    <t>ORD-1058</t>
  </si>
  <si>
    <t>ORD-1059</t>
  </si>
  <si>
    <t>ORD-1060</t>
  </si>
  <si>
    <t>2025-01-11</t>
  </si>
  <si>
    <t>ORD-1061</t>
  </si>
  <si>
    <t>ORD-1062</t>
  </si>
  <si>
    <t>ORD-1063</t>
  </si>
  <si>
    <t>ORD-1064</t>
  </si>
  <si>
    <t>ORD-1065</t>
  </si>
  <si>
    <t>ORD-1066</t>
  </si>
  <si>
    <t>2025-01-12</t>
  </si>
  <si>
    <t>ORD-1067</t>
  </si>
  <si>
    <t>ORD-1068</t>
  </si>
  <si>
    <t>ORD-1069</t>
  </si>
  <si>
    <t>ORD-1070</t>
  </si>
  <si>
    <t>ORD-1071</t>
  </si>
  <si>
    <t>ORD-1072</t>
  </si>
  <si>
    <t>2025-01-13</t>
  </si>
  <si>
    <t>ORD-1073</t>
  </si>
  <si>
    <t>ORD-1074</t>
  </si>
  <si>
    <t>ORD-1075</t>
  </si>
  <si>
    <t>ORD-1076</t>
  </si>
  <si>
    <t>ORD-1077</t>
  </si>
  <si>
    <t>ORD-1078</t>
  </si>
  <si>
    <t>2025-01-14</t>
  </si>
  <si>
    <t>ORD-1079</t>
  </si>
  <si>
    <t>ORD-1080</t>
  </si>
  <si>
    <t>ORD-1081</t>
  </si>
  <si>
    <t>ORD-1082</t>
  </si>
  <si>
    <t>ORD-1083</t>
  </si>
  <si>
    <t>ORD-1084</t>
  </si>
  <si>
    <t>2025-01-15</t>
  </si>
  <si>
    <t>ORD-1085</t>
  </si>
  <si>
    <t>ORD-1086</t>
  </si>
  <si>
    <t>ORD-1087</t>
  </si>
  <si>
    <t>ORD-1088</t>
  </si>
  <si>
    <t>ORD-1089</t>
  </si>
  <si>
    <t>ORD-1090</t>
  </si>
  <si>
    <t>2025-01-16</t>
  </si>
  <si>
    <t>ORD-1091</t>
  </si>
  <si>
    <t>ORD-1092</t>
  </si>
  <si>
    <t>ORD-1093</t>
  </si>
  <si>
    <t>ORD-1094</t>
  </si>
  <si>
    <t>ORD-1095</t>
  </si>
  <si>
    <t>ORD-1096</t>
  </si>
  <si>
    <t>2025-01-17</t>
  </si>
  <si>
    <t>ORD-1097</t>
  </si>
  <si>
    <t>ORD-1098</t>
  </si>
  <si>
    <t>ORD-1099</t>
  </si>
  <si>
    <t>ORD-1100</t>
  </si>
  <si>
    <t>ORD-1101</t>
  </si>
  <si>
    <t>ORD-1102</t>
  </si>
  <si>
    <t>2025-01-18</t>
  </si>
  <si>
    <t>ORD-1103</t>
  </si>
  <si>
    <t>ORD-1104</t>
  </si>
  <si>
    <t>ORD-1105</t>
  </si>
  <si>
    <t>ORD-1106</t>
  </si>
  <si>
    <t>ORD-1107</t>
  </si>
  <si>
    <t>ORD-1108</t>
  </si>
  <si>
    <t>2025-01-19</t>
  </si>
  <si>
    <t>ORD-1109</t>
  </si>
  <si>
    <t>ORD-1110</t>
  </si>
  <si>
    <t>ORD-1111</t>
  </si>
  <si>
    <t>ORD-1112</t>
  </si>
  <si>
    <t>ORD-1113</t>
  </si>
  <si>
    <t>ORD-1114</t>
  </si>
  <si>
    <t>2025-01-20</t>
  </si>
  <si>
    <t>ORD-1115</t>
  </si>
  <si>
    <t>ORD-1116</t>
  </si>
  <si>
    <t>ORD-1117</t>
  </si>
  <si>
    <t>ORD-1118</t>
  </si>
  <si>
    <t>ORD-1119</t>
  </si>
  <si>
    <t>ORD-1120</t>
  </si>
  <si>
    <t>2025-01-21</t>
  </si>
  <si>
    <t>ORD-1121</t>
  </si>
  <si>
    <t>ORD-1122</t>
  </si>
  <si>
    <t>ORD-1123</t>
  </si>
  <si>
    <t>ORD-1124</t>
  </si>
  <si>
    <t>ORD-1125</t>
  </si>
  <si>
    <t>ORD-1126</t>
  </si>
  <si>
    <t>2025-01-22</t>
  </si>
  <si>
    <t>ORD-1127</t>
  </si>
  <si>
    <t>ORD-1128</t>
  </si>
  <si>
    <t>ORD-1129</t>
  </si>
  <si>
    <t>ORD-1130</t>
  </si>
  <si>
    <t>ORD-1131</t>
  </si>
  <si>
    <t>ORD-1132</t>
  </si>
  <si>
    <t>2025-01-23</t>
  </si>
  <si>
    <t>ORD-1133</t>
  </si>
  <si>
    <t>ORD-1134</t>
  </si>
  <si>
    <t>ORD-1135</t>
  </si>
  <si>
    <t>ORD-1136</t>
  </si>
  <si>
    <t>ORD-1137</t>
  </si>
  <si>
    <t>ORD-1138</t>
  </si>
  <si>
    <t>2025-01-24</t>
  </si>
  <si>
    <t>ORD-1139</t>
  </si>
  <si>
    <t>ORD-1140</t>
  </si>
  <si>
    <t>ORD-1141</t>
  </si>
  <si>
    <t>ORD-1142</t>
  </si>
  <si>
    <t>ORD-1143</t>
  </si>
  <si>
    <t>ORD-1144</t>
  </si>
  <si>
    <t>2025-01-25</t>
  </si>
  <si>
    <t>ORD-1145</t>
  </si>
  <si>
    <t>ORD-1146</t>
  </si>
  <si>
    <t>ORD-1147</t>
  </si>
  <si>
    <t>ORD-1148</t>
  </si>
  <si>
    <t>ORD-1149</t>
  </si>
  <si>
    <t>ORD-1150</t>
  </si>
  <si>
    <t>2025-01-26</t>
  </si>
  <si>
    <t>ORD-1151</t>
  </si>
  <si>
    <t>ORD-1152</t>
  </si>
  <si>
    <t>ORD-1153</t>
  </si>
  <si>
    <t>ORD-1154</t>
  </si>
  <si>
    <t>ORD-1155</t>
  </si>
  <si>
    <t>ORD-1156</t>
  </si>
  <si>
    <t>2025-01-27</t>
  </si>
  <si>
    <t>ORD-1157</t>
  </si>
  <si>
    <t>ORD-1158</t>
  </si>
  <si>
    <t>ORD-1159</t>
  </si>
  <si>
    <t>ORD-1160</t>
  </si>
  <si>
    <t>ORD-1161</t>
  </si>
  <si>
    <t>ORD-1162</t>
  </si>
  <si>
    <t>2025-01-28</t>
  </si>
  <si>
    <t>ORD-1163</t>
  </si>
  <si>
    <t>ORD-1164</t>
  </si>
  <si>
    <t>ORD-1165</t>
  </si>
  <si>
    <t>ORD-1166</t>
  </si>
  <si>
    <t>ORD-1167</t>
  </si>
  <si>
    <t>ORD-1168</t>
  </si>
  <si>
    <t>2025-01-29</t>
  </si>
  <si>
    <t>ORD-1169</t>
  </si>
  <si>
    <t>ORD-1170</t>
  </si>
  <si>
    <t>ORD-1171</t>
  </si>
  <si>
    <t>ORD-1172</t>
  </si>
  <si>
    <t>ORD-1173</t>
  </si>
  <si>
    <t>ORD-1174</t>
  </si>
  <si>
    <t>2025-01-30</t>
  </si>
  <si>
    <t>ORD-1175</t>
  </si>
  <si>
    <t>ORD-1176</t>
  </si>
  <si>
    <t>ORD-1177</t>
  </si>
  <si>
    <t>ORD-1178</t>
  </si>
  <si>
    <t>ORD-1179</t>
  </si>
  <si>
    <t>ORD-1180</t>
  </si>
  <si>
    <t>2025-01-31</t>
  </si>
  <si>
    <t>ORD-1181</t>
  </si>
  <si>
    <t>ORD-1182</t>
  </si>
  <si>
    <t>ORD-1183</t>
  </si>
  <si>
    <t>ORD-1184</t>
  </si>
  <si>
    <t>ORD-1185</t>
  </si>
  <si>
    <t>ORD-1186</t>
  </si>
  <si>
    <t>2025-02-01</t>
  </si>
  <si>
    <t>ORD-1187</t>
  </si>
  <si>
    <t>ORD-1188</t>
  </si>
  <si>
    <t>ORD-1189</t>
  </si>
  <si>
    <t>ORD-1190</t>
  </si>
  <si>
    <t>ORD-1191</t>
  </si>
  <si>
    <t>ORD-1192</t>
  </si>
  <si>
    <t>2025-02-02</t>
  </si>
  <si>
    <t>ORD-1193</t>
  </si>
  <si>
    <t>ORD-1194</t>
  </si>
  <si>
    <t>ORD-1195</t>
  </si>
  <si>
    <t>ORD-1196</t>
  </si>
  <si>
    <t>ORD-1197</t>
  </si>
  <si>
    <t>ORD-1198</t>
  </si>
  <si>
    <t>2025-02-03</t>
  </si>
  <si>
    <t>ORD-1199</t>
  </si>
  <si>
    <t>ORD-1200</t>
  </si>
  <si>
    <t>ORD-1201</t>
  </si>
  <si>
    <t>ORD-1202</t>
  </si>
  <si>
    <t>ORD-1203</t>
  </si>
  <si>
    <t>ORD-1204</t>
  </si>
  <si>
    <t>2025-02-04</t>
  </si>
  <si>
    <t>ORD-1205</t>
  </si>
  <si>
    <t>ORD-1206</t>
  </si>
  <si>
    <t>ORD-1207</t>
  </si>
  <si>
    <t>ORD-1208</t>
  </si>
  <si>
    <t>ORD-1209</t>
  </si>
  <si>
    <t>ORD-1210</t>
  </si>
  <si>
    <t>2025-02-05</t>
  </si>
  <si>
    <t>ORD-1211</t>
  </si>
  <si>
    <t>ORD-1212</t>
  </si>
  <si>
    <t>ORD-1213</t>
  </si>
  <si>
    <t>ORD-1214</t>
  </si>
  <si>
    <t>ORD-1215</t>
  </si>
  <si>
    <t>ORD-1216</t>
  </si>
  <si>
    <t>2025-02-06</t>
  </si>
  <si>
    <t>ORD-1217</t>
  </si>
  <si>
    <t>ORD-1218</t>
  </si>
  <si>
    <t>ORD-1219</t>
  </si>
  <si>
    <t>ORD-1220</t>
  </si>
  <si>
    <t>ORD-1221</t>
  </si>
  <si>
    <t>ORD-1222</t>
  </si>
  <si>
    <t>2025-02-07</t>
  </si>
  <si>
    <t>ORD-1223</t>
  </si>
  <si>
    <t>ORD-1224</t>
  </si>
  <si>
    <t>ORD-1225</t>
  </si>
  <si>
    <t>ORD-1226</t>
  </si>
  <si>
    <t>ORD-1227</t>
  </si>
  <si>
    <t>ORD-1228</t>
  </si>
  <si>
    <t>2025-02-08</t>
  </si>
  <si>
    <t>ORD-1229</t>
  </si>
  <si>
    <t>ORD-1230</t>
  </si>
  <si>
    <t>ORD-1231</t>
  </si>
  <si>
    <t>ORD-1232</t>
  </si>
  <si>
    <t>ORD-1233</t>
  </si>
  <si>
    <t>ORD-1234</t>
  </si>
  <si>
    <t>2025-02-09</t>
  </si>
  <si>
    <t>ORD-1235</t>
  </si>
  <si>
    <t>ORD-1236</t>
  </si>
  <si>
    <t>ORD-1237</t>
  </si>
  <si>
    <t>ORD-1238</t>
  </si>
  <si>
    <t>ORD-1239</t>
  </si>
  <si>
    <t>ORD-1240</t>
  </si>
  <si>
    <t>2025-02-10</t>
  </si>
  <si>
    <t>ORD-1241</t>
  </si>
  <si>
    <t>ORD-1242</t>
  </si>
  <si>
    <t>ORD-1243</t>
  </si>
  <si>
    <t>ORD-1244</t>
  </si>
  <si>
    <t>ORD-1245</t>
  </si>
  <si>
    <t>ORD-1246</t>
  </si>
  <si>
    <t>2025-02-11</t>
  </si>
  <si>
    <t>ORD-1247</t>
  </si>
  <si>
    <t>ORD-1248</t>
  </si>
  <si>
    <t>ORD-1249</t>
  </si>
  <si>
    <t>ORD-1250</t>
  </si>
  <si>
    <t>ORD-1251</t>
  </si>
  <si>
    <t>ORD-1252</t>
  </si>
  <si>
    <t>2025-02-12</t>
  </si>
  <si>
    <t>ORD-1253</t>
  </si>
  <si>
    <t>ORD-1254</t>
  </si>
  <si>
    <t>ORD-1255</t>
  </si>
  <si>
    <t>ORD-1256</t>
  </si>
  <si>
    <t>ORD-1257</t>
  </si>
  <si>
    <t>ORD-1258</t>
  </si>
  <si>
    <t>2025-02-13</t>
  </si>
  <si>
    <t>ORD-1259</t>
  </si>
  <si>
    <t>ORD-1260</t>
  </si>
  <si>
    <t>ORD-1261</t>
  </si>
  <si>
    <t>ORD-1262</t>
  </si>
  <si>
    <t>ORD-1263</t>
  </si>
  <si>
    <t>ORD-1264</t>
  </si>
  <si>
    <t>2025-02-14</t>
  </si>
  <si>
    <t>ORD-1265</t>
  </si>
  <si>
    <t>ORD-1266</t>
  </si>
  <si>
    <t>ORD-1267</t>
  </si>
  <si>
    <t>ORD-1268</t>
  </si>
  <si>
    <t>ORD-1269</t>
  </si>
  <si>
    <t>ORD-1270</t>
  </si>
  <si>
    <t>2025-02-15</t>
  </si>
  <si>
    <t>ORD-1271</t>
  </si>
  <si>
    <t>ORD-1272</t>
  </si>
  <si>
    <t>ORD-1273</t>
  </si>
  <si>
    <t>ORD-1274</t>
  </si>
  <si>
    <t>ORD-1275</t>
  </si>
  <si>
    <t>ORD-1276</t>
  </si>
  <si>
    <t>2025-02-16</t>
  </si>
  <si>
    <t>ORD-1277</t>
  </si>
  <si>
    <t>ORD-1278</t>
  </si>
  <si>
    <t>ORD-1279</t>
  </si>
  <si>
    <t>ORD-1280</t>
  </si>
  <si>
    <t>ORD-1281</t>
  </si>
  <si>
    <t>ORD-1282</t>
  </si>
  <si>
    <t>2025-02-17</t>
  </si>
  <si>
    <t>ORD-1283</t>
  </si>
  <si>
    <t>ORD-1284</t>
  </si>
  <si>
    <t>ORD-1285</t>
  </si>
  <si>
    <t>ORD-1286</t>
  </si>
  <si>
    <t>ORD-1287</t>
  </si>
  <si>
    <t>ORD-1288</t>
  </si>
  <si>
    <t>2025-02-18</t>
  </si>
  <si>
    <t>ORD-1289</t>
  </si>
  <si>
    <t>ORD-1290</t>
  </si>
  <si>
    <t>ORD-1291</t>
  </si>
  <si>
    <t>ORD-1292</t>
  </si>
  <si>
    <t>ORD-1293</t>
  </si>
  <si>
    <t>ORD-1294</t>
  </si>
  <si>
    <t>2025-02-19</t>
  </si>
  <si>
    <t>ORD-1295</t>
  </si>
  <si>
    <t>ORD-1296</t>
  </si>
  <si>
    <t>ORD-1297</t>
  </si>
  <si>
    <t>ORD-1298</t>
  </si>
  <si>
    <t>ORD-1299</t>
  </si>
  <si>
    <t>ORD-1300</t>
  </si>
  <si>
    <t>2025-02-20</t>
  </si>
  <si>
    <t>ORD-1301</t>
  </si>
  <si>
    <t>ORD-1302</t>
  </si>
  <si>
    <t>ORD-1303</t>
  </si>
  <si>
    <t>ORD-1304</t>
  </si>
  <si>
    <t>ORD-1305</t>
  </si>
  <si>
    <t>ORD-1306</t>
  </si>
  <si>
    <t>2025-02-21</t>
  </si>
  <si>
    <t>ORD-1307</t>
  </si>
  <si>
    <t>ORD-1308</t>
  </si>
  <si>
    <t>ORD-1309</t>
  </si>
  <si>
    <t>ORD-1310</t>
  </si>
  <si>
    <t>ORD-1311</t>
  </si>
  <si>
    <t>ORD-1312</t>
  </si>
  <si>
    <t>2025-02-22</t>
  </si>
  <si>
    <t>ORD-1313</t>
  </si>
  <si>
    <t>ORD-1314</t>
  </si>
  <si>
    <t>ORD-1315</t>
  </si>
  <si>
    <t>ORD-1316</t>
  </si>
  <si>
    <t>ORD-1317</t>
  </si>
  <si>
    <t>ORD-1318</t>
  </si>
  <si>
    <t>2025-02-23</t>
  </si>
  <si>
    <t>ORD-1319</t>
  </si>
  <si>
    <t>ORD-1320</t>
  </si>
  <si>
    <t>ORD-1321</t>
  </si>
  <si>
    <t>ORD-1322</t>
  </si>
  <si>
    <t>ORD-1323</t>
  </si>
  <si>
    <t>ORD-1324</t>
  </si>
  <si>
    <t>2025-02-24</t>
  </si>
  <si>
    <t>ORD-1325</t>
  </si>
  <si>
    <t>ORD-1326</t>
  </si>
  <si>
    <t>ORD-1327</t>
  </si>
  <si>
    <t>ORD-1328</t>
  </si>
  <si>
    <t>ORD-1329</t>
  </si>
  <si>
    <t>ORD-1330</t>
  </si>
  <si>
    <t>2025-02-25</t>
  </si>
  <si>
    <t>ORD-1331</t>
  </si>
  <si>
    <t>ORD-1332</t>
  </si>
  <si>
    <t>ORD-1333</t>
  </si>
  <si>
    <t>ORD-1334</t>
  </si>
  <si>
    <t>ORD-1335</t>
  </si>
  <si>
    <t>ORD-1336</t>
  </si>
  <si>
    <t>2025-02-26</t>
  </si>
  <si>
    <t>ORD-1337</t>
  </si>
  <si>
    <t>ORD-1338</t>
  </si>
  <si>
    <t>ORD-1339</t>
  </si>
  <si>
    <t>ORD-1340</t>
  </si>
  <si>
    <t>ORD-1341</t>
  </si>
  <si>
    <t>ORD-1342</t>
  </si>
  <si>
    <t>2025-02-27</t>
  </si>
  <si>
    <t>ORD-1343</t>
  </si>
  <si>
    <t>ORD-1344</t>
  </si>
  <si>
    <t>ORD-1345</t>
  </si>
  <si>
    <t>ORD-1346</t>
  </si>
  <si>
    <t>ORD-1347</t>
  </si>
  <si>
    <t>ORD-1348</t>
  </si>
  <si>
    <t>2025-02-28</t>
  </si>
  <si>
    <t>ORD-1349</t>
  </si>
  <si>
    <t>ORD-1350</t>
  </si>
  <si>
    <t>ORD-1351</t>
  </si>
  <si>
    <t>ORD-1352</t>
  </si>
  <si>
    <t>ORD-1353</t>
  </si>
  <si>
    <t>ORD-1354</t>
  </si>
  <si>
    <t>2025-03-01</t>
  </si>
  <si>
    <t>ORD-1355</t>
  </si>
  <si>
    <t>ORD-1356</t>
  </si>
  <si>
    <t>ORD-1357</t>
  </si>
  <si>
    <t>ORD-1358</t>
  </si>
  <si>
    <t>ORD-1359</t>
  </si>
  <si>
    <t>ORD-1360</t>
  </si>
  <si>
    <t>2025-03-02</t>
  </si>
  <si>
    <t>ORD-1361</t>
  </si>
  <si>
    <t>ORD-1362</t>
  </si>
  <si>
    <t>ORD-1363</t>
  </si>
  <si>
    <t>ORD-1364</t>
  </si>
  <si>
    <t>ORD-1365</t>
  </si>
  <si>
    <t>ORD-1366</t>
  </si>
  <si>
    <t>2025-03-03</t>
  </si>
  <si>
    <t>ORD-1367</t>
  </si>
  <si>
    <t>ORD-1368</t>
  </si>
  <si>
    <t>ORD-1369</t>
  </si>
  <si>
    <t>ORD-1370</t>
  </si>
  <si>
    <t>ORD-1371</t>
  </si>
  <si>
    <t>ORD-1372</t>
  </si>
  <si>
    <t>2025-03-04</t>
  </si>
  <si>
    <t>ORD-1373</t>
  </si>
  <si>
    <t>ORD-1374</t>
  </si>
  <si>
    <t>ORD-1375</t>
  </si>
  <si>
    <t>ORD-1376</t>
  </si>
  <si>
    <t>ORD-1377</t>
  </si>
  <si>
    <t>ORD-1378</t>
  </si>
  <si>
    <t>2025-03-05</t>
  </si>
  <si>
    <t>ORD-1379</t>
  </si>
  <si>
    <t>ORD-1380</t>
  </si>
  <si>
    <t>ORD-1381</t>
  </si>
  <si>
    <t>ORD-1382</t>
  </si>
  <si>
    <t>ORD-1383</t>
  </si>
  <si>
    <t>ORD-1384</t>
  </si>
  <si>
    <t>2025-03-06</t>
  </si>
  <si>
    <t>ORD-1385</t>
  </si>
  <si>
    <t>ORD-1386</t>
  </si>
  <si>
    <t>ORD-1387</t>
  </si>
  <si>
    <t>ORD-1388</t>
  </si>
  <si>
    <t>ORD-1389</t>
  </si>
  <si>
    <t>ORD-1390</t>
  </si>
  <si>
    <t>2025-03-07</t>
  </si>
  <si>
    <t>ORD-1391</t>
  </si>
  <si>
    <t>ORD-1392</t>
  </si>
  <si>
    <t>ORD-1393</t>
  </si>
  <si>
    <t>ORD-1394</t>
  </si>
  <si>
    <t>ORD-1395</t>
  </si>
  <si>
    <t>ORD-1396</t>
  </si>
  <si>
    <t>2025-03-08</t>
  </si>
  <si>
    <t>ORD-1397</t>
  </si>
  <si>
    <t>ORD-1398</t>
  </si>
  <si>
    <t>ORD-1399</t>
  </si>
  <si>
    <t>ORD-1400</t>
  </si>
  <si>
    <t>ORD-1401</t>
  </si>
  <si>
    <t>ORD-1402</t>
  </si>
  <si>
    <t>2025-03-09</t>
  </si>
  <si>
    <t>ORD-1403</t>
  </si>
  <si>
    <t>ORD-1404</t>
  </si>
  <si>
    <t>ORD-1405</t>
  </si>
  <si>
    <t>ORD-1406</t>
  </si>
  <si>
    <t>ORD-1407</t>
  </si>
  <si>
    <t>ORD-1408</t>
  </si>
  <si>
    <t>2025-03-10</t>
  </si>
  <si>
    <t>ORD-1409</t>
  </si>
  <si>
    <t>ORD-1410</t>
  </si>
  <si>
    <t>ORD-1411</t>
  </si>
  <si>
    <t>ORD-1412</t>
  </si>
  <si>
    <t>ORD-1413</t>
  </si>
  <si>
    <t>ORD-1414</t>
  </si>
  <si>
    <t>2025-03-11</t>
  </si>
  <si>
    <t>ORD-1415</t>
  </si>
  <si>
    <t>ORD-1416</t>
  </si>
  <si>
    <t>ORD-1417</t>
  </si>
  <si>
    <t>ORD-1418</t>
  </si>
  <si>
    <t>ORD-1419</t>
  </si>
  <si>
    <t>ORD-1420</t>
  </si>
  <si>
    <t>2025-03-12</t>
  </si>
  <si>
    <t>ORD-1421</t>
  </si>
  <si>
    <t>ORD-1422</t>
  </si>
  <si>
    <t>ORD-1423</t>
  </si>
  <si>
    <t>ORD-1424</t>
  </si>
  <si>
    <t>ORD-1425</t>
  </si>
  <si>
    <t>ORD-1426</t>
  </si>
  <si>
    <t>2025-03-13</t>
  </si>
  <si>
    <t>ORD-1427</t>
  </si>
  <si>
    <t>ORD-1428</t>
  </si>
  <si>
    <t>ORD-1429</t>
  </si>
  <si>
    <t>ORD-1430</t>
  </si>
  <si>
    <t>ORD-1431</t>
  </si>
  <si>
    <t>ORD-1432</t>
  </si>
  <si>
    <t>2025-03-14</t>
  </si>
  <si>
    <t>ORD-1433</t>
  </si>
  <si>
    <t>ORD-1434</t>
  </si>
  <si>
    <t>ORD-1435</t>
  </si>
  <si>
    <t>ORD-1436</t>
  </si>
  <si>
    <t>ORD-1437</t>
  </si>
  <si>
    <t>ORD-1438</t>
  </si>
  <si>
    <t>2025-03-15</t>
  </si>
  <si>
    <t>ORD-1439</t>
  </si>
  <si>
    <t>ORD-1440</t>
  </si>
  <si>
    <t>ORD-1441</t>
  </si>
  <si>
    <t>ORD-1442</t>
  </si>
  <si>
    <t>ORD-1443</t>
  </si>
  <si>
    <t>ORD-1444</t>
  </si>
  <si>
    <t>2025-03-16</t>
  </si>
  <si>
    <t>ORD-1445</t>
  </si>
  <si>
    <t>ORD-1446</t>
  </si>
  <si>
    <t>ORD-1447</t>
  </si>
  <si>
    <t>ORD-1448</t>
  </si>
  <si>
    <t>ORD-1449</t>
  </si>
  <si>
    <t>ORD-1450</t>
  </si>
  <si>
    <t>2025-03-17</t>
  </si>
  <si>
    <t>ORD-1451</t>
  </si>
  <si>
    <t>ORD-1452</t>
  </si>
  <si>
    <t>ORD-1453</t>
  </si>
  <si>
    <t>ORD-1454</t>
  </si>
  <si>
    <t>ORD-1455</t>
  </si>
  <si>
    <t>ORD-1456</t>
  </si>
  <si>
    <t>2025-03-18</t>
  </si>
  <si>
    <t>ORD-1457</t>
  </si>
  <si>
    <t>ORD-1458</t>
  </si>
  <si>
    <t>ORD-1459</t>
  </si>
  <si>
    <t>ORD-1460</t>
  </si>
  <si>
    <t>ORD-1461</t>
  </si>
  <si>
    <t>ORD-1462</t>
  </si>
  <si>
    <t>2025-03-19</t>
  </si>
  <si>
    <t>ORD-1463</t>
  </si>
  <si>
    <t>ORD-1464</t>
  </si>
  <si>
    <t>ORD-1465</t>
  </si>
  <si>
    <t>ORD-1466</t>
  </si>
  <si>
    <t>ORD-1467</t>
  </si>
  <si>
    <t>ORD-1468</t>
  </si>
  <si>
    <t>2025-03-20</t>
  </si>
  <si>
    <t>ORD-1469</t>
  </si>
  <si>
    <t>ORD-1470</t>
  </si>
  <si>
    <t>ORD-1471</t>
  </si>
  <si>
    <t>ORD-1472</t>
  </si>
  <si>
    <t>ORD-1473</t>
  </si>
  <si>
    <t>ORD-1474</t>
  </si>
  <si>
    <t>2025-03-21</t>
  </si>
  <si>
    <t>ORD-1475</t>
  </si>
  <si>
    <t>ORD-1476</t>
  </si>
  <si>
    <t>ORD-1477</t>
  </si>
  <si>
    <t>ORD-1478</t>
  </si>
  <si>
    <t>ORD-1479</t>
  </si>
  <si>
    <t>ORD-1480</t>
  </si>
  <si>
    <t>2025-03-22</t>
  </si>
  <si>
    <t>ORD-1481</t>
  </si>
  <si>
    <t>ORD-1482</t>
  </si>
  <si>
    <t>ORD-1483</t>
  </si>
  <si>
    <t>ORD-1484</t>
  </si>
  <si>
    <t>ORD-1485</t>
  </si>
  <si>
    <t>ORD-1486</t>
  </si>
  <si>
    <t>2025-03-23</t>
  </si>
  <si>
    <t>ORD-1487</t>
  </si>
  <si>
    <t>ORD-1488</t>
  </si>
  <si>
    <t>ORD-1489</t>
  </si>
  <si>
    <t>ORD-1490</t>
  </si>
  <si>
    <t>ORD-1491</t>
  </si>
  <si>
    <t>ORD-1492</t>
  </si>
  <si>
    <t>2025-03-24</t>
  </si>
  <si>
    <t>ORD-1493</t>
  </si>
  <si>
    <t>ORD-1494</t>
  </si>
  <si>
    <t>ORD-1495</t>
  </si>
  <si>
    <t>ORD-1496</t>
  </si>
  <si>
    <t>ORD-1497</t>
  </si>
  <si>
    <t>ORD-1498</t>
  </si>
  <si>
    <t>2025-03-25</t>
  </si>
  <si>
    <t>ORD-1499</t>
  </si>
  <si>
    <t>ORD-1500</t>
  </si>
  <si>
    <t>ORD-1501</t>
  </si>
  <si>
    <t>ORD-1502</t>
  </si>
  <si>
    <t>ORD-1503</t>
  </si>
  <si>
    <t>ORD-1504</t>
  </si>
  <si>
    <t>2025-03-26</t>
  </si>
  <si>
    <t>ORD-1505</t>
  </si>
  <si>
    <t>ORD-1506</t>
  </si>
  <si>
    <t>ORD-1507</t>
  </si>
  <si>
    <t>ORD-1508</t>
  </si>
  <si>
    <t>ORD-1509</t>
  </si>
  <si>
    <t>ORD-1510</t>
  </si>
  <si>
    <t>2025-03-27</t>
  </si>
  <si>
    <t>ORD-1511</t>
  </si>
  <si>
    <t>ORD-1512</t>
  </si>
  <si>
    <t>ORD-1513</t>
  </si>
  <si>
    <t>ORD-1514</t>
  </si>
  <si>
    <t>ORD-1515</t>
  </si>
  <si>
    <t>ORD-1516</t>
  </si>
  <si>
    <t>2025-03-28</t>
  </si>
  <si>
    <t>ORD-1517</t>
  </si>
  <si>
    <t>ORD-1518</t>
  </si>
  <si>
    <t>ORD-1519</t>
  </si>
  <si>
    <t>ORD-1520</t>
  </si>
  <si>
    <t>ORD-1521</t>
  </si>
  <si>
    <t>ORD-1522</t>
  </si>
  <si>
    <t>2025-03-29</t>
  </si>
  <si>
    <t>ORD-1523</t>
  </si>
  <si>
    <t>ORD-1524</t>
  </si>
  <si>
    <t>ORD-1525</t>
  </si>
  <si>
    <t>ORD-1526</t>
  </si>
  <si>
    <t>ORD-1527</t>
  </si>
  <si>
    <t>ORD-1528</t>
  </si>
  <si>
    <t>2025-03-30</t>
  </si>
  <si>
    <t>ORD-1529</t>
  </si>
  <si>
    <t>ORD-1530</t>
  </si>
  <si>
    <t>ORD-1531</t>
  </si>
  <si>
    <t>ORD-1532</t>
  </si>
  <si>
    <t>ORD-1533</t>
  </si>
  <si>
    <t>ORD-1534</t>
  </si>
  <si>
    <t>2025-03-31</t>
  </si>
  <si>
    <t>ORD-1535</t>
  </si>
  <si>
    <t>ORD-1536</t>
  </si>
  <si>
    <t>ORD-1537</t>
  </si>
  <si>
    <t>ORD-1538</t>
  </si>
  <si>
    <t>ORD-1539</t>
  </si>
  <si>
    <t>ORD-1540</t>
  </si>
  <si>
    <t>2025-04-01</t>
  </si>
  <si>
    <t>ORD-1541</t>
  </si>
  <si>
    <t>ORD-1542</t>
  </si>
  <si>
    <t>ORD-1543</t>
  </si>
  <si>
    <t>ORD-1544</t>
  </si>
  <si>
    <t>ORD-1545</t>
  </si>
  <si>
    <t>ORD-1546</t>
  </si>
  <si>
    <t>2025-04-02</t>
  </si>
  <si>
    <t>ORD-1547</t>
  </si>
  <si>
    <t>ORD-1548</t>
  </si>
  <si>
    <t>ORD-1549</t>
  </si>
  <si>
    <t>ORD-1550</t>
  </si>
  <si>
    <t>ORD-1551</t>
  </si>
  <si>
    <t>ORD-1552</t>
  </si>
  <si>
    <t>2025-04-03</t>
  </si>
  <si>
    <t>ORD-1553</t>
  </si>
  <si>
    <t>ORD-1554</t>
  </si>
  <si>
    <t>ORD-1555</t>
  </si>
  <si>
    <t>ORD-1556</t>
  </si>
  <si>
    <t>ORD-1557</t>
  </si>
  <si>
    <t>ORD-1558</t>
  </si>
  <si>
    <t>2025-04-04</t>
  </si>
  <si>
    <t>ORD-1559</t>
  </si>
  <si>
    <t>ORD-1560</t>
  </si>
  <si>
    <t>ORD-1561</t>
  </si>
  <si>
    <t>ORD-1562</t>
  </si>
  <si>
    <t>ORD-1563</t>
  </si>
  <si>
    <t>ORD-1564</t>
  </si>
  <si>
    <t>2025-04-05</t>
  </si>
  <si>
    <t>ORD-1565</t>
  </si>
  <si>
    <t>ORD-1566</t>
  </si>
  <si>
    <t>ORD-1567</t>
  </si>
  <si>
    <t>ORD-1568</t>
  </si>
  <si>
    <t>ORD-1569</t>
  </si>
  <si>
    <t>ORD-1570</t>
  </si>
  <si>
    <t>2025-04-06</t>
  </si>
  <si>
    <t>ORD-1571</t>
  </si>
  <si>
    <t>ORD-1572</t>
  </si>
  <si>
    <t>ORD-1573</t>
  </si>
  <si>
    <t>ORD-1574</t>
  </si>
  <si>
    <t>ORD-1575</t>
  </si>
  <si>
    <t>ORD-1576</t>
  </si>
  <si>
    <t>2025-04-07</t>
  </si>
  <si>
    <t>ORD-1577</t>
  </si>
  <si>
    <t>ORD-1578</t>
  </si>
  <si>
    <t>ORD-1579</t>
  </si>
  <si>
    <t>ORD-1580</t>
  </si>
  <si>
    <t>ORD-1581</t>
  </si>
  <si>
    <t>ORD-1582</t>
  </si>
  <si>
    <t>2025-04-08</t>
  </si>
  <si>
    <t>ORD-1583</t>
  </si>
  <si>
    <t>ORD-1584</t>
  </si>
  <si>
    <t>ORD-1585</t>
  </si>
  <si>
    <t>ORD-1586</t>
  </si>
  <si>
    <t>ORD-1587</t>
  </si>
  <si>
    <t>ORD-1588</t>
  </si>
  <si>
    <t>2025-04-09</t>
  </si>
  <si>
    <t>ORD-1589</t>
  </si>
  <si>
    <t>ORD-1590</t>
  </si>
  <si>
    <t>ORD-1591</t>
  </si>
  <si>
    <t>ORD-1592</t>
  </si>
  <si>
    <t>ORD-1593</t>
  </si>
  <si>
    <t>ORD-1594</t>
  </si>
  <si>
    <t>2025-04-10</t>
  </si>
  <si>
    <t>ORD-1595</t>
  </si>
  <si>
    <t>ORD-1596</t>
  </si>
  <si>
    <t>ORD-1597</t>
  </si>
  <si>
    <t>ORD-1598</t>
  </si>
  <si>
    <t>ORD-1599</t>
  </si>
  <si>
    <t>ORD-1600</t>
  </si>
  <si>
    <t>2025-04-11</t>
  </si>
  <si>
    <t>ORD-1601</t>
  </si>
  <si>
    <t>ORD-1602</t>
  </si>
  <si>
    <t>ORD-1603</t>
  </si>
  <si>
    <t>ORD-1604</t>
  </si>
  <si>
    <t>ORD-1605</t>
  </si>
  <si>
    <t>ORD-1606</t>
  </si>
  <si>
    <t>2025-04-12</t>
  </si>
  <si>
    <t>ORD-1607</t>
  </si>
  <si>
    <t>ORD-1608</t>
  </si>
  <si>
    <t>ORD-1609</t>
  </si>
  <si>
    <t>ORD-1610</t>
  </si>
  <si>
    <t>ORD-1611</t>
  </si>
  <si>
    <t>ORD-1612</t>
  </si>
  <si>
    <t>2025-04-13</t>
  </si>
  <si>
    <t>ORD-1613</t>
  </si>
  <si>
    <t>ORD-1614</t>
  </si>
  <si>
    <t>ORD-1615</t>
  </si>
  <si>
    <t>ORD-1616</t>
  </si>
  <si>
    <t>ORD-1617</t>
  </si>
  <si>
    <t>ORD-1618</t>
  </si>
  <si>
    <t>2025-04-14</t>
  </si>
  <si>
    <t>ORD-1619</t>
  </si>
  <si>
    <t>ORD-1620</t>
  </si>
  <si>
    <t>ORD-1621</t>
  </si>
  <si>
    <t>ORD-1622</t>
  </si>
  <si>
    <t>ORD-1623</t>
  </si>
  <si>
    <t>ORD-1624</t>
  </si>
  <si>
    <t>2025-04-15</t>
  </si>
  <si>
    <t>ORD-1625</t>
  </si>
  <si>
    <t>ORD-1626</t>
  </si>
  <si>
    <t>ORD-1627</t>
  </si>
  <si>
    <t>ORD-1628</t>
  </si>
  <si>
    <t>ORD-1629</t>
  </si>
  <si>
    <t>ORD-1630</t>
  </si>
  <si>
    <t>2025-04-16</t>
  </si>
  <si>
    <t>ORD-1631</t>
  </si>
  <si>
    <t>ORD-1632</t>
  </si>
  <si>
    <t>ORD-1633</t>
  </si>
  <si>
    <t>ORD-1634</t>
  </si>
  <si>
    <t>ORD-1635</t>
  </si>
  <si>
    <t>ORD-1636</t>
  </si>
  <si>
    <t>2025-04-17</t>
  </si>
  <si>
    <t>ORD-1637</t>
  </si>
  <si>
    <t>ORD-1638</t>
  </si>
  <si>
    <t>ORD-1639</t>
  </si>
  <si>
    <t>ORD-1640</t>
  </si>
  <si>
    <t>ORD-1641</t>
  </si>
  <si>
    <t>ORD-1642</t>
  </si>
  <si>
    <t>2025-04-18</t>
  </si>
  <si>
    <t>ORD-1643</t>
  </si>
  <si>
    <t>ORD-1644</t>
  </si>
  <si>
    <t>ORD-1645</t>
  </si>
  <si>
    <t>ORD-1646</t>
  </si>
  <si>
    <t>ORD-1647</t>
  </si>
  <si>
    <t>ORD-1648</t>
  </si>
  <si>
    <t>2025-04-19</t>
  </si>
  <si>
    <t>ORD-1649</t>
  </si>
  <si>
    <t>ORD-1650</t>
  </si>
  <si>
    <t>ORD-1651</t>
  </si>
  <si>
    <t>ORD-1652</t>
  </si>
  <si>
    <t>ORD-1653</t>
  </si>
  <si>
    <t>ORD-1654</t>
  </si>
  <si>
    <t>2025-04-20</t>
  </si>
  <si>
    <t>ORD-1655</t>
  </si>
  <si>
    <t>ORD-1656</t>
  </si>
  <si>
    <t>ORD-1657</t>
  </si>
  <si>
    <t>ORD-1658</t>
  </si>
  <si>
    <t>ORD-1659</t>
  </si>
  <si>
    <t>ORD-1660</t>
  </si>
  <si>
    <t>2025-04-21</t>
  </si>
  <si>
    <t>ORD-1661</t>
  </si>
  <si>
    <t>ORD-1662</t>
  </si>
  <si>
    <t>ORD-1663</t>
  </si>
  <si>
    <t>ORD-1664</t>
  </si>
  <si>
    <t>ORD-1665</t>
  </si>
  <si>
    <t>ORD-1666</t>
  </si>
  <si>
    <t>2025-04-22</t>
  </si>
  <si>
    <t>ORD-1667</t>
  </si>
  <si>
    <t>ORD-1668</t>
  </si>
  <si>
    <t>ORD-1669</t>
  </si>
  <si>
    <t>ORD-1670</t>
  </si>
  <si>
    <t>ORD-1671</t>
  </si>
  <si>
    <t>ORD-1672</t>
  </si>
  <si>
    <t>2025-04-23</t>
  </si>
  <si>
    <t>ORD-1673</t>
  </si>
  <si>
    <t>ORD-1674</t>
  </si>
  <si>
    <t>ORD-1675</t>
  </si>
  <si>
    <t>ORD-1676</t>
  </si>
  <si>
    <t>ORD-1677</t>
  </si>
  <si>
    <t>ORD-1678</t>
  </si>
  <si>
    <t>2025-04-24</t>
  </si>
  <si>
    <t>ORD-1679</t>
  </si>
  <si>
    <t>ORD-1680</t>
  </si>
  <si>
    <t>ORD-1681</t>
  </si>
  <si>
    <t>ORD-1682</t>
  </si>
  <si>
    <t>ORD-1683</t>
  </si>
  <si>
    <t>ORD-1684</t>
  </si>
  <si>
    <t>2025-04-25</t>
  </si>
  <si>
    <t>ORD-1685</t>
  </si>
  <si>
    <t>ORD-1686</t>
  </si>
  <si>
    <t>ORD-1687</t>
  </si>
  <si>
    <t>ORD-1688</t>
  </si>
  <si>
    <t>ORD-1689</t>
  </si>
  <si>
    <t>ORD-1690</t>
  </si>
  <si>
    <t>2025-04-26</t>
  </si>
  <si>
    <t>ORD-1691</t>
  </si>
  <si>
    <t>ORD-1692</t>
  </si>
  <si>
    <t>ORD-1693</t>
  </si>
  <si>
    <t>ORD-1694</t>
  </si>
  <si>
    <t>ORD-1695</t>
  </si>
  <si>
    <t>ORD-1696</t>
  </si>
  <si>
    <t>2025-04-27</t>
  </si>
  <si>
    <t>ORD-1697</t>
  </si>
  <si>
    <t>ORD-1698</t>
  </si>
  <si>
    <t>ORD-1699</t>
  </si>
  <si>
    <t>ORD-1700</t>
  </si>
  <si>
    <t>ORD-1701</t>
  </si>
  <si>
    <t>ORD-1702</t>
  </si>
  <si>
    <t>2025-04-28</t>
  </si>
  <si>
    <t>ORD-1703</t>
  </si>
  <si>
    <t>ORD-1704</t>
  </si>
  <si>
    <t>ORD-1705</t>
  </si>
  <si>
    <t>ORD-1706</t>
  </si>
  <si>
    <t>ORD-1707</t>
  </si>
  <si>
    <t>ORD-1708</t>
  </si>
  <si>
    <t>2025-04-29</t>
  </si>
  <si>
    <t>ORD-1709</t>
  </si>
  <si>
    <t>ORD-1710</t>
  </si>
  <si>
    <t>ORD-1711</t>
  </si>
  <si>
    <t>ORD-1712</t>
  </si>
  <si>
    <t>ORD-1713</t>
  </si>
  <si>
    <t>ORD-1714</t>
  </si>
  <si>
    <t>2025-04-30</t>
  </si>
  <si>
    <t>ORD-1715</t>
  </si>
  <si>
    <t>ORD-1716</t>
  </si>
  <si>
    <t>ORD-1717</t>
  </si>
  <si>
    <t>ORD-1718</t>
  </si>
  <si>
    <t>ORD-1719</t>
  </si>
  <si>
    <t>ORD-1720</t>
  </si>
  <si>
    <t>2025-05-01</t>
  </si>
  <si>
    <t>ORD-1721</t>
  </si>
  <si>
    <t>ORD-1722</t>
  </si>
  <si>
    <t>ORD-1723</t>
  </si>
  <si>
    <t>ORD-1724</t>
  </si>
  <si>
    <t>ORD-1725</t>
  </si>
  <si>
    <t>ORD-1726</t>
  </si>
  <si>
    <t>2025-05-02</t>
  </si>
  <si>
    <t>ORD-1727</t>
  </si>
  <si>
    <t>ORD-1728</t>
  </si>
  <si>
    <t>ORD-1729</t>
  </si>
  <si>
    <t>ORD-1730</t>
  </si>
  <si>
    <t>ORD-1731</t>
  </si>
  <si>
    <t>ORD-1732</t>
  </si>
  <si>
    <t>2025-05-03</t>
  </si>
  <si>
    <t>ORD-1733</t>
  </si>
  <si>
    <t>ORD-1734</t>
  </si>
  <si>
    <t>ORD-1735</t>
  </si>
  <si>
    <t>ORD-1736</t>
  </si>
  <si>
    <t>ORD-1737</t>
  </si>
  <si>
    <t>ORD-1738</t>
  </si>
  <si>
    <t>2025-05-04</t>
  </si>
  <si>
    <t>ORD-1739</t>
  </si>
  <si>
    <t>ORD-1740</t>
  </si>
  <si>
    <t>ORD-1741</t>
  </si>
  <si>
    <t>ORD-1742</t>
  </si>
  <si>
    <t>ORD-1743</t>
  </si>
  <si>
    <t>ORD-1744</t>
  </si>
  <si>
    <t>2025-05-05</t>
  </si>
  <si>
    <t>ORD-1745</t>
  </si>
  <si>
    <t>ORD-1746</t>
  </si>
  <si>
    <t>ORD-1747</t>
  </si>
  <si>
    <t>ORD-1748</t>
  </si>
  <si>
    <t>ORD-1749</t>
  </si>
  <si>
    <t>ORD-1750</t>
  </si>
  <si>
    <t>2025-05-06</t>
  </si>
  <si>
    <t>ORD-1751</t>
  </si>
  <si>
    <t>ORD-1752</t>
  </si>
  <si>
    <t>ORD-1753</t>
  </si>
  <si>
    <t>ORD-1754</t>
  </si>
  <si>
    <t>ORD-1755</t>
  </si>
  <si>
    <t>ORD-1756</t>
  </si>
  <si>
    <t>2025-05-07</t>
  </si>
  <si>
    <t>ORD-1757</t>
  </si>
  <si>
    <t>ORD-1758</t>
  </si>
  <si>
    <t>ORD-1759</t>
  </si>
  <si>
    <t>ORD-1760</t>
  </si>
  <si>
    <t>ORD-1761</t>
  </si>
  <si>
    <t>ORD-1762</t>
  </si>
  <si>
    <t>2025-05-08</t>
  </si>
  <si>
    <t>ORD-1763</t>
  </si>
  <si>
    <t>ORD-1764</t>
  </si>
  <si>
    <t>ORD-1765</t>
  </si>
  <si>
    <t>ORD-1766</t>
  </si>
  <si>
    <t>ORD-1767</t>
  </si>
  <si>
    <t>ORD-1768</t>
  </si>
  <si>
    <t>2025-05-09</t>
  </si>
  <si>
    <t>ORD-1769</t>
  </si>
  <si>
    <t>ORD-1770</t>
  </si>
  <si>
    <t>ORD-1771</t>
  </si>
  <si>
    <t>ORD-1772</t>
  </si>
  <si>
    <t>ORD-1773</t>
  </si>
  <si>
    <t>ORD-1774</t>
  </si>
  <si>
    <t>2025-05-10</t>
  </si>
  <si>
    <t>ORD-1775</t>
  </si>
  <si>
    <t>ORD-1776</t>
  </si>
  <si>
    <t>ORD-1777</t>
  </si>
  <si>
    <t>ORD-1778</t>
  </si>
  <si>
    <t>ORD-1779</t>
  </si>
  <si>
    <t>ORD-1780</t>
  </si>
  <si>
    <t>2025-05-11</t>
  </si>
  <si>
    <t>ORD-1781</t>
  </si>
  <si>
    <t>ORD-1782</t>
  </si>
  <si>
    <t>ORD-1783</t>
  </si>
  <si>
    <t>ORD-1784</t>
  </si>
  <si>
    <t>ORD-1785</t>
  </si>
  <si>
    <t>ORD-1786</t>
  </si>
  <si>
    <t>2025-05-12</t>
  </si>
  <si>
    <t>ORD-1787</t>
  </si>
  <si>
    <t>ORD-1788</t>
  </si>
  <si>
    <t>ORD-1789</t>
  </si>
  <si>
    <t>ORD-1790</t>
  </si>
  <si>
    <t>ORD-1791</t>
  </si>
  <si>
    <t>ORD-1792</t>
  </si>
  <si>
    <t>2025-05-13</t>
  </si>
  <si>
    <t>ORD-1793</t>
  </si>
  <si>
    <t>ORD-1794</t>
  </si>
  <si>
    <t>ORD-1795</t>
  </si>
  <si>
    <t>ORD-1796</t>
  </si>
  <si>
    <t>ORD-1797</t>
  </si>
  <si>
    <t>ORD-1798</t>
  </si>
  <si>
    <t>2025-05-14</t>
  </si>
  <si>
    <t>ORD-1799</t>
  </si>
  <si>
    <t>ORD-1800</t>
  </si>
  <si>
    <t>ORD-1801</t>
  </si>
  <si>
    <t>ORD-1802</t>
  </si>
  <si>
    <t>ORD-1803</t>
  </si>
  <si>
    <t>ORD-1804</t>
  </si>
  <si>
    <t>2025-05-15</t>
  </si>
  <si>
    <t>ORD-1805</t>
  </si>
  <si>
    <t>ORD-1806</t>
  </si>
  <si>
    <t>ORD-1807</t>
  </si>
  <si>
    <t>ORD-1808</t>
  </si>
  <si>
    <t>ORD-1809</t>
  </si>
  <si>
    <t>ORD-1810</t>
  </si>
  <si>
    <t>2025-05-16</t>
  </si>
  <si>
    <t>ORD-1811</t>
  </si>
  <si>
    <t>ORD-1812</t>
  </si>
  <si>
    <t>ORD-1813</t>
  </si>
  <si>
    <t>ORD-1814</t>
  </si>
  <si>
    <t>ORD-1815</t>
  </si>
  <si>
    <t>ORD-1816</t>
  </si>
  <si>
    <t>2025-05-17</t>
  </si>
  <si>
    <t>ORD-1817</t>
  </si>
  <si>
    <t>ORD-1818</t>
  </si>
  <si>
    <t>ORD-1819</t>
  </si>
  <si>
    <t>ORD-1820</t>
  </si>
  <si>
    <t>ORD-1821</t>
  </si>
  <si>
    <t>ORD-1822</t>
  </si>
  <si>
    <t>2025-05-18</t>
  </si>
  <si>
    <t>ORD-1823</t>
  </si>
  <si>
    <t>ORD-1824</t>
  </si>
  <si>
    <t>ORD-1825</t>
  </si>
  <si>
    <t>ORD-1826</t>
  </si>
  <si>
    <t>ORD-1827</t>
  </si>
  <si>
    <t>ORD-1828</t>
  </si>
  <si>
    <t>2025-05-19</t>
  </si>
  <si>
    <t>ORD-1829</t>
  </si>
  <si>
    <t>ORD-1830</t>
  </si>
  <si>
    <t>ORD-1831</t>
  </si>
  <si>
    <t>ORD-1832</t>
  </si>
  <si>
    <t>ORD-1833</t>
  </si>
  <si>
    <t>ORD-1834</t>
  </si>
  <si>
    <t>2025-05-20</t>
  </si>
  <si>
    <t>ORD-1835</t>
  </si>
  <si>
    <t>ORD-1836</t>
  </si>
  <si>
    <t>ORD-1837</t>
  </si>
  <si>
    <t>ORD-1838</t>
  </si>
  <si>
    <t>ORD-1839</t>
  </si>
  <si>
    <t>ORD-1840</t>
  </si>
  <si>
    <t>2025-05-21</t>
  </si>
  <si>
    <t>ORD-1841</t>
  </si>
  <si>
    <t>ORD-1842</t>
  </si>
  <si>
    <t>ORD-1843</t>
  </si>
  <si>
    <t>ORD-1844</t>
  </si>
  <si>
    <t>ORD-1845</t>
  </si>
  <si>
    <t>ORD-1846</t>
  </si>
  <si>
    <t>2025-05-22</t>
  </si>
  <si>
    <t>ORD-1847</t>
  </si>
  <si>
    <t>ORD-1848</t>
  </si>
  <si>
    <t>ORD-1849</t>
  </si>
  <si>
    <t>ORD-1850</t>
  </si>
  <si>
    <t>ORD-1851</t>
  </si>
  <si>
    <t>ORD-1852</t>
  </si>
  <si>
    <t>2025-05-23</t>
  </si>
  <si>
    <t>ORD-1853</t>
  </si>
  <si>
    <t>ORD-1854</t>
  </si>
  <si>
    <t>ORD-1855</t>
  </si>
  <si>
    <t>ORD-1856</t>
  </si>
  <si>
    <t>ORD-1857</t>
  </si>
  <si>
    <t>ORD-1858</t>
  </si>
  <si>
    <t>2025-05-24</t>
  </si>
  <si>
    <t>ORD-1859</t>
  </si>
  <si>
    <t>ORD-1860</t>
  </si>
  <si>
    <t>ORD-1861</t>
  </si>
  <si>
    <t>ORD-1862</t>
  </si>
  <si>
    <t>ORD-1863</t>
  </si>
  <si>
    <t>ORD-1864</t>
  </si>
  <si>
    <t>2025-05-25</t>
  </si>
  <si>
    <t>ORD-1865</t>
  </si>
  <si>
    <t>ORD-1866</t>
  </si>
  <si>
    <t>ORD-1867</t>
  </si>
  <si>
    <t>ORD-1868</t>
  </si>
  <si>
    <t>ORD-1869</t>
  </si>
  <si>
    <t>ORD-1870</t>
  </si>
  <si>
    <t>2025-05-26</t>
  </si>
  <si>
    <t>ORD-1871</t>
  </si>
  <si>
    <t>ORD-1872</t>
  </si>
  <si>
    <t>ORD-1873</t>
  </si>
  <si>
    <t>ORD-1874</t>
  </si>
  <si>
    <t>ORD-1875</t>
  </si>
  <si>
    <t>ORD-1876</t>
  </si>
  <si>
    <t>2025-05-27</t>
  </si>
  <si>
    <t>ORD-1877</t>
  </si>
  <si>
    <t>ORD-1878</t>
  </si>
  <si>
    <t>ORD-1879</t>
  </si>
  <si>
    <t>ORD-1880</t>
  </si>
  <si>
    <t>ORD-1881</t>
  </si>
  <si>
    <t>ORD-1882</t>
  </si>
  <si>
    <t>2025-05-28</t>
  </si>
  <si>
    <t>ORD-1883</t>
  </si>
  <si>
    <t>ORD-1884</t>
  </si>
  <si>
    <t>ORD-1885</t>
  </si>
  <si>
    <t>ORD-1886</t>
  </si>
  <si>
    <t>ORD-1887</t>
  </si>
  <si>
    <t>ORD-1888</t>
  </si>
  <si>
    <t>2025-05-29</t>
  </si>
  <si>
    <t>ORD-1889</t>
  </si>
  <si>
    <t>ORD-1890</t>
  </si>
  <si>
    <t>ORD-1891</t>
  </si>
  <si>
    <t>ORD-1892</t>
  </si>
  <si>
    <t>ORD-1893</t>
  </si>
  <si>
    <t>ORD-1894</t>
  </si>
  <si>
    <t>2025-05-30</t>
  </si>
  <si>
    <t>ORD-1895</t>
  </si>
  <si>
    <t>ORD-1896</t>
  </si>
  <si>
    <t>ORD-1897</t>
  </si>
  <si>
    <t>ORD-1898</t>
  </si>
  <si>
    <t>ORD-1899</t>
  </si>
  <si>
    <t>ORD-1900</t>
  </si>
  <si>
    <t>2025-05-31</t>
  </si>
  <si>
    <t>ORD-1901</t>
  </si>
  <si>
    <t>ORD-1902</t>
  </si>
  <si>
    <t>ORD-1903</t>
  </si>
  <si>
    <t>ORD-1904</t>
  </si>
  <si>
    <t>ORD-1905</t>
  </si>
  <si>
    <t>ORD-1906</t>
  </si>
  <si>
    <t>2025-06-01</t>
  </si>
  <si>
    <t>ORD-1907</t>
  </si>
  <si>
    <t>ORD-1908</t>
  </si>
  <si>
    <t>ORD-1909</t>
  </si>
  <si>
    <t>ORD-1910</t>
  </si>
  <si>
    <t>ORD-1911</t>
  </si>
  <si>
    <t>ORD-1912</t>
  </si>
  <si>
    <t>2025-06-02</t>
  </si>
  <si>
    <t>ORD-1913</t>
  </si>
  <si>
    <t>ORD-1914</t>
  </si>
  <si>
    <t>ORD-1915</t>
  </si>
  <si>
    <t>ORD-1916</t>
  </si>
  <si>
    <t>ORD-1917</t>
  </si>
  <si>
    <t>ORD-1918</t>
  </si>
  <si>
    <t>2025-06-03</t>
  </si>
  <si>
    <t>ORD-1919</t>
  </si>
  <si>
    <t>ORD-1920</t>
  </si>
  <si>
    <t>ORD-1921</t>
  </si>
  <si>
    <t>ORD-1922</t>
  </si>
  <si>
    <t>ORD-1923</t>
  </si>
  <si>
    <t>ORD-1924</t>
  </si>
  <si>
    <t>2025-06-04</t>
  </si>
  <si>
    <t>ORD-1925</t>
  </si>
  <si>
    <t>ORD-1926</t>
  </si>
  <si>
    <t>ORD-1927</t>
  </si>
  <si>
    <t>ORD-1928</t>
  </si>
  <si>
    <t>ORD-1929</t>
  </si>
  <si>
    <t>ORD-1930</t>
  </si>
  <si>
    <t>2025-06-05</t>
  </si>
  <si>
    <t>ORD-1931</t>
  </si>
  <si>
    <t>ORD-1932</t>
  </si>
  <si>
    <t>ORD-1933</t>
  </si>
  <si>
    <t>ORD-1934</t>
  </si>
  <si>
    <t>ORD-1935</t>
  </si>
  <si>
    <t>ORD-1936</t>
  </si>
  <si>
    <t>2025-06-06</t>
  </si>
  <si>
    <t>ORD-1937</t>
  </si>
  <si>
    <t>ORD-1938</t>
  </si>
  <si>
    <t>ORD-1939</t>
  </si>
  <si>
    <t>ORD-1940</t>
  </si>
  <si>
    <t>ORD-1941</t>
  </si>
  <si>
    <t>ORD-1942</t>
  </si>
  <si>
    <t>2025-06-07</t>
  </si>
  <si>
    <t>ORD-1943</t>
  </si>
  <si>
    <t>ORD-1944</t>
  </si>
  <si>
    <t>ORD-1945</t>
  </si>
  <si>
    <t>ORD-1946</t>
  </si>
  <si>
    <t>ORD-1947</t>
  </si>
  <si>
    <t>ORD-1948</t>
  </si>
  <si>
    <t>2025-06-08</t>
  </si>
  <si>
    <t>ORD-1949</t>
  </si>
  <si>
    <t>ORD-1950</t>
  </si>
  <si>
    <t>ORD-1951</t>
  </si>
  <si>
    <t>ORD-1952</t>
  </si>
  <si>
    <t>ORD-1953</t>
  </si>
  <si>
    <t>ORD-1954</t>
  </si>
  <si>
    <t>2025-06-09</t>
  </si>
  <si>
    <t>ORD-1955</t>
  </si>
  <si>
    <t>ORD-1956</t>
  </si>
  <si>
    <t>ORD-1957</t>
  </si>
  <si>
    <t>ORD-1958</t>
  </si>
  <si>
    <t>ORD-1959</t>
  </si>
  <si>
    <t>ORD-1960</t>
  </si>
  <si>
    <t>2025-06-10</t>
  </si>
  <si>
    <t>ORD-1961</t>
  </si>
  <si>
    <t>ORD-1962</t>
  </si>
  <si>
    <t>ORD-1963</t>
  </si>
  <si>
    <t>ORD-1964</t>
  </si>
  <si>
    <t>ORD-1965</t>
  </si>
  <si>
    <t>ORD-1966</t>
  </si>
  <si>
    <t>2025-06-11</t>
  </si>
  <si>
    <t>ORD-1967</t>
  </si>
  <si>
    <t>ORD-1968</t>
  </si>
  <si>
    <t>ORD-1969</t>
  </si>
  <si>
    <t>ORD-1970</t>
  </si>
  <si>
    <t>ORD-1971</t>
  </si>
  <si>
    <t>ORD-1972</t>
  </si>
  <si>
    <t>2025-06-12</t>
  </si>
  <si>
    <t>ORD-1973</t>
  </si>
  <si>
    <t>ORD-1974</t>
  </si>
  <si>
    <t>ORD-1975</t>
  </si>
  <si>
    <t>ORD-1976</t>
  </si>
  <si>
    <t>ORD-1977</t>
  </si>
  <si>
    <t>ORD-1978</t>
  </si>
  <si>
    <t>2025-06-13</t>
  </si>
  <si>
    <t>ORD-1979</t>
  </si>
  <si>
    <t>ORD-1980</t>
  </si>
  <si>
    <t>ORD-1981</t>
  </si>
  <si>
    <t>ORD-1982</t>
  </si>
  <si>
    <t>ORD-1983</t>
  </si>
  <si>
    <t>ORD-1984</t>
  </si>
  <si>
    <t>2025-06-14</t>
  </si>
  <si>
    <t>ORD-1985</t>
  </si>
  <si>
    <t>ORD-1986</t>
  </si>
  <si>
    <t>ORD-1987</t>
  </si>
  <si>
    <t>ORD-1988</t>
  </si>
  <si>
    <t>ORD-1989</t>
  </si>
  <si>
    <t>ORD-1990</t>
  </si>
  <si>
    <t>2025-06-15</t>
  </si>
  <si>
    <t>ORD-1991</t>
  </si>
  <si>
    <t>ORD-1992</t>
  </si>
  <si>
    <t>ORD-1993</t>
  </si>
  <si>
    <t>ORD-1994</t>
  </si>
  <si>
    <t>ORD-1995</t>
  </si>
  <si>
    <t>ORD-1996</t>
  </si>
  <si>
    <t>2025-06-16</t>
  </si>
  <si>
    <t>ORD-1997</t>
  </si>
  <si>
    <t>ORD-1998</t>
  </si>
  <si>
    <t>ORD-1999</t>
  </si>
  <si>
    <t>ORD-2000</t>
  </si>
  <si>
    <t>ORD-2001</t>
  </si>
  <si>
    <t>ORD-2002</t>
  </si>
  <si>
    <t>2025-06-17</t>
  </si>
  <si>
    <t>ORD-2003</t>
  </si>
  <si>
    <t>ORD-2004</t>
  </si>
  <si>
    <t>ORD-2005</t>
  </si>
  <si>
    <t>ORD-2006</t>
  </si>
  <si>
    <t>ORD-2007</t>
  </si>
  <si>
    <t>ORD-2008</t>
  </si>
  <si>
    <t>2025-06-18</t>
  </si>
  <si>
    <t>ORD-2009</t>
  </si>
  <si>
    <t>ORD-2010</t>
  </si>
  <si>
    <t>ORD-2011</t>
  </si>
  <si>
    <t>ORD-2012</t>
  </si>
  <si>
    <t>ORD-2013</t>
  </si>
  <si>
    <t>ORD-2014</t>
  </si>
  <si>
    <t>2025-06-19</t>
  </si>
  <si>
    <t>ORD-2015</t>
  </si>
  <si>
    <t>ORD-2016</t>
  </si>
  <si>
    <t>ORD-2017</t>
  </si>
  <si>
    <t>ORD-2018</t>
  </si>
  <si>
    <t>ORD-2019</t>
  </si>
  <si>
    <t>ORD-2020</t>
  </si>
  <si>
    <t>2025-06-20</t>
  </si>
  <si>
    <t>ORD-2021</t>
  </si>
  <si>
    <t>ORD-2022</t>
  </si>
  <si>
    <t>ORD-2023</t>
  </si>
  <si>
    <t>ORD-2024</t>
  </si>
  <si>
    <t>ORD-2025</t>
  </si>
  <si>
    <t>ORD-2026</t>
  </si>
  <si>
    <t>2025-06-21</t>
  </si>
  <si>
    <t>ORD-2027</t>
  </si>
  <si>
    <t>ORD-2028</t>
  </si>
  <si>
    <t>ORD-2029</t>
  </si>
  <si>
    <t>ORD-2030</t>
  </si>
  <si>
    <t>ORD-2031</t>
  </si>
  <si>
    <t>ORD-2032</t>
  </si>
  <si>
    <t>2025-06-22</t>
  </si>
  <si>
    <t>ORD-2033</t>
  </si>
  <si>
    <t>ORD-2034</t>
  </si>
  <si>
    <t>ORD-2035</t>
  </si>
  <si>
    <t>ORD-2036</t>
  </si>
  <si>
    <t>ORD-2037</t>
  </si>
  <si>
    <t>ORD-2038</t>
  </si>
  <si>
    <t>2025-06-23</t>
  </si>
  <si>
    <t>ORD-2039</t>
  </si>
  <si>
    <t>ORD-2040</t>
  </si>
  <si>
    <t>ORD-2041</t>
  </si>
  <si>
    <t>ORD-2042</t>
  </si>
  <si>
    <t>ORD-2043</t>
  </si>
  <si>
    <t>ORD-2044</t>
  </si>
  <si>
    <t>2025-06-24</t>
  </si>
  <si>
    <t>ORD-2045</t>
  </si>
  <si>
    <t>ORD-2046</t>
  </si>
  <si>
    <t>ORD-2047</t>
  </si>
  <si>
    <t>ORD-2048</t>
  </si>
  <si>
    <t>ORD-2049</t>
  </si>
  <si>
    <t>ORD-2050</t>
  </si>
  <si>
    <t>2025-06-25</t>
  </si>
  <si>
    <t>ORD-2051</t>
  </si>
  <si>
    <t>ORD-2052</t>
  </si>
  <si>
    <t>ORD-2053</t>
  </si>
  <si>
    <t>ORD-2054</t>
  </si>
  <si>
    <t>ORD-2055</t>
  </si>
  <si>
    <t>ORD-2056</t>
  </si>
  <si>
    <t>2025-06-26</t>
  </si>
  <si>
    <t>ORD-2057</t>
  </si>
  <si>
    <t>ORD-2058</t>
  </si>
  <si>
    <t>ORD-2059</t>
  </si>
  <si>
    <t>ORD-2060</t>
  </si>
  <si>
    <t>ORD-2061</t>
  </si>
  <si>
    <t>ORD-2062</t>
  </si>
  <si>
    <t>2025-06-27</t>
  </si>
  <si>
    <t>ORD-2063</t>
  </si>
  <si>
    <t>ORD-2064</t>
  </si>
  <si>
    <t>ORD-2065</t>
  </si>
  <si>
    <t>ORD-2066</t>
  </si>
  <si>
    <t>ORD-2067</t>
  </si>
  <si>
    <t>ORD-2068</t>
  </si>
  <si>
    <t>2025-06-28</t>
  </si>
  <si>
    <t>ORD-2069</t>
  </si>
  <si>
    <t>ORD-2070</t>
  </si>
  <si>
    <t>ORD-2071</t>
  </si>
  <si>
    <t>ORD-2072</t>
  </si>
  <si>
    <t>ORD-2073</t>
  </si>
  <si>
    <t>ORD-2074</t>
  </si>
  <si>
    <t>2025-06-29</t>
  </si>
  <si>
    <t>ORD-2075</t>
  </si>
  <si>
    <t>ORD-2076</t>
  </si>
  <si>
    <t>ORD-2077</t>
  </si>
  <si>
    <t>ORD-2078</t>
  </si>
  <si>
    <t>ORD-2079</t>
  </si>
  <si>
    <t>ORD-2080</t>
  </si>
  <si>
    <t>2025-06-30</t>
  </si>
  <si>
    <t>ORD-2081</t>
  </si>
  <si>
    <t>ORD-2082</t>
  </si>
  <si>
    <t>ORD-2083</t>
  </si>
  <si>
    <t>ORD-2084</t>
  </si>
  <si>
    <t>ORD-2085</t>
  </si>
  <si>
    <t>ORD-2086</t>
  </si>
  <si>
    <t>2025-07-01</t>
  </si>
  <si>
    <t>ORD-2087</t>
  </si>
  <si>
    <t>ORD-2088</t>
  </si>
  <si>
    <t>ORD-2089</t>
  </si>
  <si>
    <t>ORD-2090</t>
  </si>
  <si>
    <t>ORD-2091</t>
  </si>
  <si>
    <t>ORD-2092</t>
  </si>
  <si>
    <t>2025-07-02</t>
  </si>
  <si>
    <t>ORD-2093</t>
  </si>
  <si>
    <t>ORD-2094</t>
  </si>
  <si>
    <t>ORD-2095</t>
  </si>
  <si>
    <t>ORD-2096</t>
  </si>
  <si>
    <t>ORD-2097</t>
  </si>
  <si>
    <t>ORD-2098</t>
  </si>
  <si>
    <t>2025-07-03</t>
  </si>
  <si>
    <t>ORD-2099</t>
  </si>
  <si>
    <t>ORD-2100</t>
  </si>
  <si>
    <t>ORD-2101</t>
  </si>
  <si>
    <t>ORD-2102</t>
  </si>
  <si>
    <t>ORD-2103</t>
  </si>
  <si>
    <t>ORD-2104</t>
  </si>
  <si>
    <t>2025-07-04</t>
  </si>
  <si>
    <t>ORD-2105</t>
  </si>
  <si>
    <t>ORD-2106</t>
  </si>
  <si>
    <t>ORD-2107</t>
  </si>
  <si>
    <t>ORD-2108</t>
  </si>
  <si>
    <t>ORD-2109</t>
  </si>
  <si>
    <t>ORD-2110</t>
  </si>
  <si>
    <t>2025-07-05</t>
  </si>
  <si>
    <t>ORD-2111</t>
  </si>
  <si>
    <t>ORD-2112</t>
  </si>
  <si>
    <t>ORD-2113</t>
  </si>
  <si>
    <t>ORD-2114</t>
  </si>
  <si>
    <t>ORD-2115</t>
  </si>
  <si>
    <t>ORD-2116</t>
  </si>
  <si>
    <t>2025-07-06</t>
  </si>
  <si>
    <t>ORD-2117</t>
  </si>
  <si>
    <t>ORD-2118</t>
  </si>
  <si>
    <t>ORD-2119</t>
  </si>
  <si>
    <t>ORD-2120</t>
  </si>
  <si>
    <t>ORD-2121</t>
  </si>
  <si>
    <t>ORD-2122</t>
  </si>
  <si>
    <t>2025-07-07</t>
  </si>
  <si>
    <t>ORD-2123</t>
  </si>
  <si>
    <t>ORD-2124</t>
  </si>
  <si>
    <t>ORD-2125</t>
  </si>
  <si>
    <t>ORD-2126</t>
  </si>
  <si>
    <t>ORD-2127</t>
  </si>
  <si>
    <t>ORD-2128</t>
  </si>
  <si>
    <t>2025-07-08</t>
  </si>
  <si>
    <t>ORD-2129</t>
  </si>
  <si>
    <t>ORD-2130</t>
  </si>
  <si>
    <t>ORD-2131</t>
  </si>
  <si>
    <t>ORD-2132</t>
  </si>
  <si>
    <t>ORD-2133</t>
  </si>
  <si>
    <t>ORD-2134</t>
  </si>
  <si>
    <t>2025-07-09</t>
  </si>
  <si>
    <t>ORD-2135</t>
  </si>
  <si>
    <t>ORD-2136</t>
  </si>
  <si>
    <t>ORD-2137</t>
  </si>
  <si>
    <t>ORD-2138</t>
  </si>
  <si>
    <t>ORD-2139</t>
  </si>
  <si>
    <t>ORD-2140</t>
  </si>
  <si>
    <t>2025-07-10</t>
  </si>
  <si>
    <t>ORD-2141</t>
  </si>
  <si>
    <t>ORD-2142</t>
  </si>
  <si>
    <t>ORD-2143</t>
  </si>
  <si>
    <t>ORD-2144</t>
  </si>
  <si>
    <t>ORD-2145</t>
  </si>
  <si>
    <t>ORD-2146</t>
  </si>
  <si>
    <t>2025-07-11</t>
  </si>
  <si>
    <t>ORD-2147</t>
  </si>
  <si>
    <t>ORD-2148</t>
  </si>
  <si>
    <t>ORD-2149</t>
  </si>
  <si>
    <t>ORD-2150</t>
  </si>
  <si>
    <t>ORD-2151</t>
  </si>
  <si>
    <t>ORD-2152</t>
  </si>
  <si>
    <t>2025-07-12</t>
  </si>
  <si>
    <t>ORD-2153</t>
  </si>
  <si>
    <t>ORD-2154</t>
  </si>
  <si>
    <t>ORD-2155</t>
  </si>
  <si>
    <t>ORD-2156</t>
  </si>
  <si>
    <t>ORD-2157</t>
  </si>
  <si>
    <t>ORD-2158</t>
  </si>
  <si>
    <t>2025-07-13</t>
  </si>
  <si>
    <t>ORD-2159</t>
  </si>
  <si>
    <t>ORD-2160</t>
  </si>
  <si>
    <t>ORD-2161</t>
  </si>
  <si>
    <t>ORD-2162</t>
  </si>
  <si>
    <t>ORD-2163</t>
  </si>
  <si>
    <t>ORD-2164</t>
  </si>
  <si>
    <t>2025-07-14</t>
  </si>
  <si>
    <t>ORD-2165</t>
  </si>
  <si>
    <t>ORD-2166</t>
  </si>
  <si>
    <t>ORD-2167</t>
  </si>
  <si>
    <t>ORD-2168</t>
  </si>
  <si>
    <t>ORD-2169</t>
  </si>
  <si>
    <t>ORD-2170</t>
  </si>
  <si>
    <t>2025-07-15</t>
  </si>
  <si>
    <t>ORD-2171</t>
  </si>
  <si>
    <t>ORD-2172</t>
  </si>
  <si>
    <t>ORD-2173</t>
  </si>
  <si>
    <t>ORD-2174</t>
  </si>
  <si>
    <t>ORD-2175</t>
  </si>
  <si>
    <t>ORD-2176</t>
  </si>
  <si>
    <t>2025-07-16</t>
  </si>
  <si>
    <t>ORD-2177</t>
  </si>
  <si>
    <t>ORD-2178</t>
  </si>
  <si>
    <t>ORD-2179</t>
  </si>
  <si>
    <t>ORD-2180</t>
  </si>
  <si>
    <t>ORD-2181</t>
  </si>
  <si>
    <t>ORD-2182</t>
  </si>
  <si>
    <t>2025-07-17</t>
  </si>
  <si>
    <t>ORD-2183</t>
  </si>
  <si>
    <t>ORD-2184</t>
  </si>
  <si>
    <t>ORD-2185</t>
  </si>
  <si>
    <t>ORD-2186</t>
  </si>
  <si>
    <t>ORD-2187</t>
  </si>
  <si>
    <t>ORD-2188</t>
  </si>
  <si>
    <t>2025-07-18</t>
  </si>
  <si>
    <t>ORD-2189</t>
  </si>
  <si>
    <t>ORD-2190</t>
  </si>
  <si>
    <t>ORD-2191</t>
  </si>
  <si>
    <t>ORD-2192</t>
  </si>
  <si>
    <t>ORD-2193</t>
  </si>
  <si>
    <t>ORD-2194</t>
  </si>
  <si>
    <t>2025-07-19</t>
  </si>
  <si>
    <t>ORD-2195</t>
  </si>
  <si>
    <t>ORD-2196</t>
  </si>
  <si>
    <t>ORD-2197</t>
  </si>
  <si>
    <t>ORD-2198</t>
  </si>
  <si>
    <t>ORD-2199</t>
  </si>
  <si>
    <t>ORD-2200</t>
  </si>
  <si>
    <t>2025-07-20</t>
  </si>
  <si>
    <t>ORD-2201</t>
  </si>
  <si>
    <t>ORD-2202</t>
  </si>
  <si>
    <t>ORD-2203</t>
  </si>
  <si>
    <t>ORD-2204</t>
  </si>
  <si>
    <t>ORD-2205</t>
  </si>
  <si>
    <t>ORD-2206</t>
  </si>
  <si>
    <t>2025-07-21</t>
  </si>
  <si>
    <t>ORD-2207</t>
  </si>
  <si>
    <t>ORD-2208</t>
  </si>
  <si>
    <t>ORD-2209</t>
  </si>
  <si>
    <t>ORD-2210</t>
  </si>
  <si>
    <t>ORD-2211</t>
  </si>
  <si>
    <t>ORD-2212</t>
  </si>
  <si>
    <t>2025-07-22</t>
  </si>
  <si>
    <t>ORD-2213</t>
  </si>
  <si>
    <t>ORD-2214</t>
  </si>
  <si>
    <t>ORD-2215</t>
  </si>
  <si>
    <t>ORD-2216</t>
  </si>
  <si>
    <t>ORD-2217</t>
  </si>
  <si>
    <t>ORD-2218</t>
  </si>
  <si>
    <t>2025-07-23</t>
  </si>
  <si>
    <t>ORD-2219</t>
  </si>
  <si>
    <t>ORD-2220</t>
  </si>
  <si>
    <t>ORD-2221</t>
  </si>
  <si>
    <t>ORD-2222</t>
  </si>
  <si>
    <t>ORD-2223</t>
  </si>
  <si>
    <t>ORD-2224</t>
  </si>
  <si>
    <t>2025-07-24</t>
  </si>
  <si>
    <t>ORD-2225</t>
  </si>
  <si>
    <t>ORD-2226</t>
  </si>
  <si>
    <t>ORD-2227</t>
  </si>
  <si>
    <t>ORD-2228</t>
  </si>
  <si>
    <t>ORD-2229</t>
  </si>
  <si>
    <t>ORD-2230</t>
  </si>
  <si>
    <t>2025-07-25</t>
  </si>
  <si>
    <t>ORD-2231</t>
  </si>
  <si>
    <t>ORD-2232</t>
  </si>
  <si>
    <t>ORD-2233</t>
  </si>
  <si>
    <t>ORD-2234</t>
  </si>
  <si>
    <t>ORD-2235</t>
  </si>
  <si>
    <t>ORD-2236</t>
  </si>
  <si>
    <t>2025-07-26</t>
  </si>
  <si>
    <t>ORD-2237</t>
  </si>
  <si>
    <t>ORD-2238</t>
  </si>
  <si>
    <t>ORD-2239</t>
  </si>
  <si>
    <t>ORD-2240</t>
  </si>
  <si>
    <t>ORD-2241</t>
  </si>
  <si>
    <t>ORD-2242</t>
  </si>
  <si>
    <t>2025-07-27</t>
  </si>
  <si>
    <t>ORD-2243</t>
  </si>
  <si>
    <t>ORD-2244</t>
  </si>
  <si>
    <t>ORD-2245</t>
  </si>
  <si>
    <t>ORD-2246</t>
  </si>
  <si>
    <t>ORD-2247</t>
  </si>
  <si>
    <t>ORD-2248</t>
  </si>
  <si>
    <t>2025-07-28</t>
  </si>
  <si>
    <t>ORD-2249</t>
  </si>
  <si>
    <t>ORD-2250</t>
  </si>
  <si>
    <t>ORD-2251</t>
  </si>
  <si>
    <t>ORD-2252</t>
  </si>
  <si>
    <t>ORD-2253</t>
  </si>
  <si>
    <t>ORD-2254</t>
  </si>
  <si>
    <t>2025-07-29</t>
  </si>
  <si>
    <t>ORD-2255</t>
  </si>
  <si>
    <t>ORD-2256</t>
  </si>
  <si>
    <t>ORD-2257</t>
  </si>
  <si>
    <t>ORD-2258</t>
  </si>
  <si>
    <t>ORD-2259</t>
  </si>
  <si>
    <t>ORD-2260</t>
  </si>
  <si>
    <t>2025-07-30</t>
  </si>
  <si>
    <t>ORD-2261</t>
  </si>
  <si>
    <t>ORD-2262</t>
  </si>
  <si>
    <t>ORD-2263</t>
  </si>
  <si>
    <t>ORD-2264</t>
  </si>
  <si>
    <t>ORD-2265</t>
  </si>
  <si>
    <t>ORD-2266</t>
  </si>
  <si>
    <t>2025-07-31</t>
  </si>
  <si>
    <t>ORD-2267</t>
  </si>
  <si>
    <t>ORD-2268</t>
  </si>
  <si>
    <t>ORD-2269</t>
  </si>
  <si>
    <t>ORD-2270</t>
  </si>
  <si>
    <t>ORD-2271</t>
  </si>
  <si>
    <t>ORD-2272</t>
  </si>
  <si>
    <t>2025-08-01</t>
  </si>
  <si>
    <t>ORD-2273</t>
  </si>
  <si>
    <t>ORD-2274</t>
  </si>
  <si>
    <t>ORD-2275</t>
  </si>
  <si>
    <t>ORD-2276</t>
  </si>
  <si>
    <t>ORD-2277</t>
  </si>
  <si>
    <t>ORD-2278</t>
  </si>
  <si>
    <t>2025-08-02</t>
  </si>
  <si>
    <t>ORD-2279</t>
  </si>
  <si>
    <t>ORD-2280</t>
  </si>
  <si>
    <t>ORD-2281</t>
  </si>
  <si>
    <t>ORD-2282</t>
  </si>
  <si>
    <t>ORD-2283</t>
  </si>
  <si>
    <t>ORD-2284</t>
  </si>
  <si>
    <t>2025-08-03</t>
  </si>
  <si>
    <t>ORD-2285</t>
  </si>
  <si>
    <t>ORD-2286</t>
  </si>
  <si>
    <t>ORD-2287</t>
  </si>
  <si>
    <t>ORD-2288</t>
  </si>
  <si>
    <t>ORD-2289</t>
  </si>
  <si>
    <t>ORD-2290</t>
  </si>
  <si>
    <t>2025-08-04</t>
  </si>
  <si>
    <t>ORD-2291</t>
  </si>
  <si>
    <t>ORD-2292</t>
  </si>
  <si>
    <t>ORD-2293</t>
  </si>
  <si>
    <t>ORD-2294</t>
  </si>
  <si>
    <t>ORD-2295</t>
  </si>
  <si>
    <t>ORD-2296</t>
  </si>
  <si>
    <t>2025-08-05</t>
  </si>
  <si>
    <t>ORD-2297</t>
  </si>
  <si>
    <t>ORD-2298</t>
  </si>
  <si>
    <t>ORD-2299</t>
  </si>
  <si>
    <t>ORD-2300</t>
  </si>
  <si>
    <t>ORD-2301</t>
  </si>
  <si>
    <t>ORD-2302</t>
  </si>
  <si>
    <t>2025-08-06</t>
  </si>
  <si>
    <t>ORD-2303</t>
  </si>
  <si>
    <t>ORD-2304</t>
  </si>
  <si>
    <t>ORD-2305</t>
  </si>
  <si>
    <t>ORD-2306</t>
  </si>
  <si>
    <t>ORD-2307</t>
  </si>
  <si>
    <t>ORD-2308</t>
  </si>
  <si>
    <t>2025-08-07</t>
  </si>
  <si>
    <t>ORD-2309</t>
  </si>
  <si>
    <t>ORD-2310</t>
  </si>
  <si>
    <t>ORD-2311</t>
  </si>
  <si>
    <t>ORD-2312</t>
  </si>
  <si>
    <t>ORD-2313</t>
  </si>
  <si>
    <t>ORD-2314</t>
  </si>
  <si>
    <t>2025-08-08</t>
  </si>
  <si>
    <t>ORD-2315</t>
  </si>
  <si>
    <t>ORD-2316</t>
  </si>
  <si>
    <t>ORD-2317</t>
  </si>
  <si>
    <t>ORD-2318</t>
  </si>
  <si>
    <t>ORD-2319</t>
  </si>
  <si>
    <t>ORD-2320</t>
  </si>
  <si>
    <t>2025-08-09</t>
  </si>
  <si>
    <t>ORD-2321</t>
  </si>
  <si>
    <t>ORD-2322</t>
  </si>
  <si>
    <t>ORD-2323</t>
  </si>
  <si>
    <t>ORD-2324</t>
  </si>
  <si>
    <t>ORD-2325</t>
  </si>
  <si>
    <t>ORD-2326</t>
  </si>
  <si>
    <t>2025-08-10</t>
  </si>
  <si>
    <t>ORD-2327</t>
  </si>
  <si>
    <t>ORD-2328</t>
  </si>
  <si>
    <t>ORD-2329</t>
  </si>
  <si>
    <t>ORD-2330</t>
  </si>
  <si>
    <t>ORD-2331</t>
  </si>
  <si>
    <t>ORD-2332</t>
  </si>
  <si>
    <t>2025-08-11</t>
  </si>
  <si>
    <t>ORD-2333</t>
  </si>
  <si>
    <t>ORD-2334</t>
  </si>
  <si>
    <t>ORD-2335</t>
  </si>
  <si>
    <t>ORD-2336</t>
  </si>
  <si>
    <t>ORD-2337</t>
  </si>
  <si>
    <t>ORD-2338</t>
  </si>
  <si>
    <t>2025-08-12</t>
  </si>
  <si>
    <t>ORD-2339</t>
  </si>
  <si>
    <t>ORD-2340</t>
  </si>
  <si>
    <t>ORD-2341</t>
  </si>
  <si>
    <t>ORD-2342</t>
  </si>
  <si>
    <t>ORD-2343</t>
  </si>
  <si>
    <t>ORD-2344</t>
  </si>
  <si>
    <t>2025-08-13</t>
  </si>
  <si>
    <t>ORD-2345</t>
  </si>
  <si>
    <t>ORD-2346</t>
  </si>
  <si>
    <t>ORD-2347</t>
  </si>
  <si>
    <t>ORD-2348</t>
  </si>
  <si>
    <t>ORD-2349</t>
  </si>
  <si>
    <t>ORD-2350</t>
  </si>
  <si>
    <t>2025-08-14</t>
  </si>
  <si>
    <t>ORD-2351</t>
  </si>
  <si>
    <t>ORD-2352</t>
  </si>
  <si>
    <t>ORD-2353</t>
  </si>
  <si>
    <t>ORD-2354</t>
  </si>
  <si>
    <t>ORD-2355</t>
  </si>
  <si>
    <t>ORD-2356</t>
  </si>
  <si>
    <t>2025-08-15</t>
  </si>
  <si>
    <t>ORD-2357</t>
  </si>
  <si>
    <t>ORD-2358</t>
  </si>
  <si>
    <t>ORD-2359</t>
  </si>
  <si>
    <t>ORD-2360</t>
  </si>
  <si>
    <t>ORD-2361</t>
  </si>
  <si>
    <t>ORD-2362</t>
  </si>
  <si>
    <t>2025-08-16</t>
  </si>
  <si>
    <t>ORD-2363</t>
  </si>
  <si>
    <t>ORD-2364</t>
  </si>
  <si>
    <t>ORD-2365</t>
  </si>
  <si>
    <t>ORD-2366</t>
  </si>
  <si>
    <t>ORD-2367</t>
  </si>
  <si>
    <t>ORD-2368</t>
  </si>
  <si>
    <t>2025-08-17</t>
  </si>
  <si>
    <t>ORD-2369</t>
  </si>
  <si>
    <t>ORD-2370</t>
  </si>
  <si>
    <t>ORD-2371</t>
  </si>
  <si>
    <t>ORD-2372</t>
  </si>
  <si>
    <t>ORD-2373</t>
  </si>
  <si>
    <t>ORD-2374</t>
  </si>
  <si>
    <t>2025-08-18</t>
  </si>
  <si>
    <t>ORD-2375</t>
  </si>
  <si>
    <t>ORD-2376</t>
  </si>
  <si>
    <t>ORD-2377</t>
  </si>
  <si>
    <t>ORD-2378</t>
  </si>
  <si>
    <t>ORD-2379</t>
  </si>
  <si>
    <t>ORD-2380</t>
  </si>
  <si>
    <t>2025-08-19</t>
  </si>
  <si>
    <t>ORD-2381</t>
  </si>
  <si>
    <t>ORD-2382</t>
  </si>
  <si>
    <t>ORD-2383</t>
  </si>
  <si>
    <t>ORD-2384</t>
  </si>
  <si>
    <t>ORD-2385</t>
  </si>
  <si>
    <t>ORD-2386</t>
  </si>
  <si>
    <t>2025-08-20</t>
  </si>
  <si>
    <t>ORD-2387</t>
  </si>
  <si>
    <t>ORD-2388</t>
  </si>
  <si>
    <t>ORD-2389</t>
  </si>
  <si>
    <t>ORD-2390</t>
  </si>
  <si>
    <t>ORD-2391</t>
  </si>
  <si>
    <t>ORD-2392</t>
  </si>
  <si>
    <t>2025-08-21</t>
  </si>
  <si>
    <t>ORD-2393</t>
  </si>
  <si>
    <t>ORD-2394</t>
  </si>
  <si>
    <t>ORD-2395</t>
  </si>
  <si>
    <t>ORD-2396</t>
  </si>
  <si>
    <t>ORD-2397</t>
  </si>
  <si>
    <t>ORD-2398</t>
  </si>
  <si>
    <t>2025-08-22</t>
  </si>
  <si>
    <t>ORD-2399</t>
  </si>
  <si>
    <t>ORD-2400</t>
  </si>
  <si>
    <t>ORD-2401</t>
  </si>
  <si>
    <t>ORD-2402</t>
  </si>
  <si>
    <t>ORD-2403</t>
  </si>
  <si>
    <t>ORD-2404</t>
  </si>
  <si>
    <t>2025-08-23</t>
  </si>
  <si>
    <t>ORD-2405</t>
  </si>
  <si>
    <t>ORD-2406</t>
  </si>
  <si>
    <t>ORD-2407</t>
  </si>
  <si>
    <t>ORD-2408</t>
  </si>
  <si>
    <t>ORD-2409</t>
  </si>
  <si>
    <t>ORD-2410</t>
  </si>
  <si>
    <t>2025-08-24</t>
  </si>
  <si>
    <t>ORD-2411</t>
  </si>
  <si>
    <t>ORD-2412</t>
  </si>
  <si>
    <t>ORD-2413</t>
  </si>
  <si>
    <t>ORD-2414</t>
  </si>
  <si>
    <t>ORD-2415</t>
  </si>
  <si>
    <t>ORD-2416</t>
  </si>
  <si>
    <t>2025-08-25</t>
  </si>
  <si>
    <t>ORD-2417</t>
  </si>
  <si>
    <t>ORD-2418</t>
  </si>
  <si>
    <t>ORD-2419</t>
  </si>
  <si>
    <t>ORD-2420</t>
  </si>
  <si>
    <t>ORD-2421</t>
  </si>
  <si>
    <t>ORD-2422</t>
  </si>
  <si>
    <t>2025-08-26</t>
  </si>
  <si>
    <t>ORD-2423</t>
  </si>
  <si>
    <t>ORD-2424</t>
  </si>
  <si>
    <t>ORD-2425</t>
  </si>
  <si>
    <t>ORD-2426</t>
  </si>
  <si>
    <t>ORD-2427</t>
  </si>
  <si>
    <t>ORD-2428</t>
  </si>
  <si>
    <t>2025-08-27</t>
  </si>
  <si>
    <t>ORD-2429</t>
  </si>
  <si>
    <t>ORD-2430</t>
  </si>
  <si>
    <t>ORD-2431</t>
  </si>
  <si>
    <t>ORD-2432</t>
  </si>
  <si>
    <t>ORD-2433</t>
  </si>
  <si>
    <t>ORD-2434</t>
  </si>
  <si>
    <t>2025-08-28</t>
  </si>
  <si>
    <t>ORD-2435</t>
  </si>
  <si>
    <t>ORD-2436</t>
  </si>
  <si>
    <t>ORD-2437</t>
  </si>
  <si>
    <t>ORD-2438</t>
  </si>
  <si>
    <t>ORD-2439</t>
  </si>
  <si>
    <t>ORD-2440</t>
  </si>
  <si>
    <t>2025-08-29</t>
  </si>
  <si>
    <t>ORD-2441</t>
  </si>
  <si>
    <t>ORD-2442</t>
  </si>
  <si>
    <t>ORD-2443</t>
  </si>
  <si>
    <t>ORD-2444</t>
  </si>
  <si>
    <t>ORD-2445</t>
  </si>
  <si>
    <t>ORD-2446</t>
  </si>
  <si>
    <t>2025-08-30</t>
  </si>
  <si>
    <t>ORD-2447</t>
  </si>
  <si>
    <t>ORD-2448</t>
  </si>
  <si>
    <t>ORD-2449</t>
  </si>
  <si>
    <t>ORD-2450</t>
  </si>
  <si>
    <t>ORD-2451</t>
  </si>
  <si>
    <t>ORD-2452</t>
  </si>
  <si>
    <t>2025-08-31</t>
  </si>
  <si>
    <t>ORD-2453</t>
  </si>
  <si>
    <t>ORD-2454</t>
  </si>
  <si>
    <t>ORD-2455</t>
  </si>
  <si>
    <t>ORD-2456</t>
  </si>
  <si>
    <t>ORD-2457</t>
  </si>
  <si>
    <t>ORD-2458</t>
  </si>
  <si>
    <t>2025-09-01</t>
  </si>
  <si>
    <t>ORD-2459</t>
  </si>
  <si>
    <t>ORD-2460</t>
  </si>
  <si>
    <t>ORD-2461</t>
  </si>
  <si>
    <t>ORD-2462</t>
  </si>
  <si>
    <t>ORD-2463</t>
  </si>
  <si>
    <t>ORD-2464</t>
  </si>
  <si>
    <t>2025-09-02</t>
  </si>
  <si>
    <t>ORD-2465</t>
  </si>
  <si>
    <t>ORD-2466</t>
  </si>
  <si>
    <t>ORD-2467</t>
  </si>
  <si>
    <t>ORD-2468</t>
  </si>
  <si>
    <t>ORD-2469</t>
  </si>
  <si>
    <t>ORD-2470</t>
  </si>
  <si>
    <t>2025-09-03</t>
  </si>
  <si>
    <t>ORD-2471</t>
  </si>
  <si>
    <t>ORD-2472</t>
  </si>
  <si>
    <t>ORD-2473</t>
  </si>
  <si>
    <t>ORD-2474</t>
  </si>
  <si>
    <t>ORD-2475</t>
  </si>
  <si>
    <t>ORD-2476</t>
  </si>
  <si>
    <t>2025-09-04</t>
  </si>
  <si>
    <t>ORD-2477</t>
  </si>
  <si>
    <t>ORD-2478</t>
  </si>
  <si>
    <t>ORD-2479</t>
  </si>
  <si>
    <t>ORD-2480</t>
  </si>
  <si>
    <t>ORD-2481</t>
  </si>
  <si>
    <t>ORD-2482</t>
  </si>
  <si>
    <t>2025-09-05</t>
  </si>
  <si>
    <t>ORD-2483</t>
  </si>
  <si>
    <t>ORD-2484</t>
  </si>
  <si>
    <t>ORD-2485</t>
  </si>
  <si>
    <t>ORD-2486</t>
  </si>
  <si>
    <t>ORD-2487</t>
  </si>
  <si>
    <t>ORD-2488</t>
  </si>
  <si>
    <t>2025-09-06</t>
  </si>
  <si>
    <t>ORD-2489</t>
  </si>
  <si>
    <t>ORD-2490</t>
  </si>
  <si>
    <t>ORD-2491</t>
  </si>
  <si>
    <t>ORD-2492</t>
  </si>
  <si>
    <t>ORD-2493</t>
  </si>
  <si>
    <t>ORD-2494</t>
  </si>
  <si>
    <t>2025-09-07</t>
  </si>
  <si>
    <t>ORD-2495</t>
  </si>
  <si>
    <t>ORD-2496</t>
  </si>
  <si>
    <t>ORD-2497</t>
  </si>
  <si>
    <t>ORD-2498</t>
  </si>
  <si>
    <t>ORD-2499</t>
  </si>
  <si>
    <t>Row Labels</t>
  </si>
  <si>
    <t>Grand Total</t>
  </si>
  <si>
    <t>RETAIL EXECUTIVE PERFORMANCE DASHBOARD</t>
  </si>
  <si>
    <t>TOTAL REVENUE</t>
  </si>
  <si>
    <t>NET PROFIT</t>
  </si>
  <si>
    <t>PROFIT 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</si>
</sst>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6" formatCode="&quot;$&quot;#,##0"/>
  </numFmts>
  <fonts count="2" x14ac:knownFonts="1">
    <font>
      <sz val="11"/>
      <color theme="1"/>
      <name val="Calibri"/>
      <family val="2"/>
      <scheme val="minor"/>
    </font>
    <font>
      <b/>
      <sz val="14"/>
      <color rgb="FFFFFFFF"/>
      <name val="Segoe UI"/>
      <family val="2"/>
    </font>
  </fonts>
  <fills count="3">
    <fill>
      <patternFill patternType="none"/>
    </fill>
    <fill>
      <patternFill patternType="gray125"/>
    </fill>
    <fill>
      <patternFill patternType="solid">
        <fgColor rgb="FF1E293B"/>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applyAlignment="1">
      <alignment horizontal="center" vertical="center"/>
    </xf>
    <xf numFmtId="0" fontId="0" fillId="0" borderId="0" xfId="0" pivotButton="1"/>
    <xf numFmtId="0" fontId="0" fillId="0" borderId="0" xfId="0" applyAlignment="1">
      <alignment horizontal="left"/>
    </xf>
    <xf numFmtId="166" fontId="0" fillId="0" borderId="0" xfId="0" applyNumberForma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[Retail_Executive_Dashboard.xlsm]AI_Dashboard!SummaryPivot</c:name>
    <c:fmtId val="0"/>
  </c:pivotSource>
  <c:chart>
    <c:title>
      <c:tx>
        <c:rich>
          <a:bodyPr/>
          <a:lstStyle/>
          <a:p>
            <a:pPr>
              <a:defRPr/>
            </a:pPr>
            <a:r>
              <a:rPr lang="en-US"/>
              <a:t>Category Revenue &amp; Profitability</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AI_Dashboard!$C$9</c:f>
              <c:strCache>
                <c:ptCount val="1"/>
                <c:pt idx="0">
                  <c:v>Total Sales</c:v>
                </c:pt>
              </c:strCache>
            </c:strRef>
          </c:tx>
          <c:invertIfNegative val="0"/>
          <c:cat>
            <c:strRef>
              <c:f>AI_Dashboard!$B$10:$B$13</c:f>
              <c:strCache>
                <c:ptCount val="3"/>
                <c:pt idx="0">
                  <c:v>Furniture</c:v>
                </c:pt>
                <c:pt idx="1">
                  <c:v>Office Supplies</c:v>
                </c:pt>
                <c:pt idx="2">
                  <c:v>Technology</c:v>
                </c:pt>
              </c:strCache>
            </c:strRef>
          </c:cat>
          <c:val>
            <c:numRef>
              <c:f>AI_Dashboard!$C$10:$C$13</c:f>
              <c:numCache>
                <c:formatCode>"$"#,##0</c:formatCode>
                <c:ptCount val="3"/>
                <c:pt idx="0">
                  <c:v>33671.119999999988</c:v>
                </c:pt>
                <c:pt idx="1">
                  <c:v>54976.929999999986</c:v>
                </c:pt>
                <c:pt idx="2">
                  <c:v>42484.360000000015</c:v>
                </c:pt>
              </c:numCache>
            </c:numRef>
          </c:val>
          <c:extLst>
            <c:ext xmlns:c16="http://schemas.microsoft.com/office/drawing/2014/chart" uri="{C3380CC4-5D6E-409C-BE32-E72D297353CC}">
              <c16:uniqueId val="{00000002-E8BD-4675-B285-7D6ABE15D22B}"/>
            </c:ext>
          </c:extLst>
        </c:ser>
        <c:ser>
          <c:idx val="1"/>
          <c:order val="1"/>
          <c:tx>
            <c:strRef>
              <c:f>AI_Dashboard!$D$9</c:f>
              <c:strCache>
                <c:ptCount val="1"/>
                <c:pt idx="0">
                  <c:v>Total Profit</c:v>
                </c:pt>
              </c:strCache>
            </c:strRef>
          </c:tx>
          <c:invertIfNegative val="0"/>
          <c:cat>
            <c:strRef>
              <c:f>AI_Dashboard!$B$10:$B$13</c:f>
              <c:strCache>
                <c:ptCount val="3"/>
                <c:pt idx="0">
                  <c:v>Furniture</c:v>
                </c:pt>
                <c:pt idx="1">
                  <c:v>Office Supplies</c:v>
                </c:pt>
                <c:pt idx="2">
                  <c:v>Technology</c:v>
                </c:pt>
              </c:strCache>
            </c:strRef>
          </c:cat>
          <c:val>
            <c:numRef>
              <c:f>AI_Dashboard!$D$10:$D$13</c:f>
              <c:numCache>
                <c:formatCode>"$"#,##0</c:formatCode>
                <c:ptCount val="3"/>
                <c:pt idx="0">
                  <c:v>-2181.0699999999993</c:v>
                </c:pt>
                <c:pt idx="1">
                  <c:v>7648.3899999999931</c:v>
                </c:pt>
                <c:pt idx="2">
                  <c:v>10845.429999999997</c:v>
                </c:pt>
              </c:numCache>
            </c:numRef>
          </c:val>
          <c:extLst>
            <c:ext xmlns:c16="http://schemas.microsoft.com/office/drawing/2014/chart" uri="{C3380CC4-5D6E-409C-BE32-E72D297353CC}">
              <c16:uniqueId val="{00000003-E8BD-4675-B285-7D6ABE15D22B}"/>
            </c:ext>
          </c:extLst>
        </c:ser>
        <c:dLbls>
          <c:showLegendKey val="0"/>
          <c:showVal val="0"/>
          <c:showCatName val="0"/>
          <c:showSerName val="0"/>
          <c:showPercent val="0"/>
          <c:showBubbleSize val="0"/>
        </c:dLbls>
        <c:gapWidth val="150"/>
        <c:axId val="1471270304"/>
        <c:axId val="1111046656"/>
      </c:barChart>
      <c:catAx>
        <c:axId val="1471270304"/>
        <c:scaling>
          <c:orientation val="minMax"/>
        </c:scaling>
        <c:delete val="0"/>
        <c:axPos val="b"/>
        <c:numFmt formatCode="General" sourceLinked="1"/>
        <c:majorTickMark val="out"/>
        <c:minorTickMark val="none"/>
        <c:tickLblPos val="nextTo"/>
        <c:crossAx val="1111046656"/>
        <c:crosses val="autoZero"/>
        <c:auto val="1"/>
        <c:lblAlgn val="ctr"/>
        <c:lblOffset val="100"/>
        <c:noMultiLvlLbl val="0"/>
      </c:catAx>
      <c:valAx>
        <c:axId val="1111046656"/>
        <c:scaling>
          <c:orientation val="minMax"/>
        </c:scaling>
        <c:delete val="0"/>
        <c:axPos val="l"/>
        <c:majorGridlines/>
        <c:numFmt formatCode="&quot;$&quot;#,##0" sourceLinked="1"/>
        <c:majorTickMark val="out"/>
        <c:minorTickMark val="none"/>
        <c:tickLblPos val="nextTo"/>
        <c:crossAx val="147127030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726017</xdr:colOff>
      <xdr:row>6</xdr:row>
      <xdr:rowOff>169333</xdr:rowOff>
    </xdr:from>
    <xdr:to>
      <xdr:col>15</xdr:col>
      <xdr:colOff>10583</xdr:colOff>
      <xdr:row>25</xdr:row>
      <xdr:rowOff>42333</xdr:rowOff>
    </xdr:to>
    <xdr:graphicFrame macro="">
      <xdr:nvGraphicFramePr>
        <xdr:cNvPr id="2" name="Chart 1">
          <a:extLst>
            <a:ext uri="{FF2B5EF4-FFF2-40B4-BE49-F238E27FC236}">
              <a16:creationId xmlns:a16="http://schemas.microsoft.com/office/drawing/2014/main" id="{950DCC4B-146E-8FD7-78D3-87ACD15668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6350</xdr:colOff>
      <xdr:row>4</xdr:row>
      <xdr:rowOff>0</xdr:rowOff>
    </xdr:from>
    <xdr:to>
      <xdr:col>19</xdr:col>
      <xdr:colOff>209550</xdr:colOff>
      <xdr:row>15</xdr:row>
      <xdr:rowOff>6350</xdr:rowOff>
    </xdr:to>
    <mc:AlternateContent xmlns:mc="http://schemas.openxmlformats.org/markup-compatibility/2006">
      <mc:Choice xmlns:a14="http://schemas.microsoft.com/office/drawing/2010/main" Requires="a14">
        <xdr:graphicFrame macro="">
          <xdr:nvGraphicFramePr>
            <xdr:cNvPr id="3" name="RegionSlicer">
              <a:extLst>
                <a:ext uri="{FF2B5EF4-FFF2-40B4-BE49-F238E27FC236}">
                  <a16:creationId xmlns:a16="http://schemas.microsoft.com/office/drawing/2014/main" id="{D4BFC52A-8E66-B1EC-68D5-9779AED4DA37}"/>
                </a:ext>
              </a:extLst>
            </xdr:cNvPr>
            <xdr:cNvGraphicFramePr/>
          </xdr:nvGraphicFramePr>
          <xdr:xfrm>
            <a:off x="0" y="0"/>
            <a:ext cx="0" cy="0"/>
          </xdr:xfrm>
          <a:graphic>
            <a:graphicData uri="http://schemas.microsoft.com/office/drawing/2010/slicer">
              <sle:slicer xmlns:sle="http://schemas.microsoft.com/office/drawing/2010/slicer" name="RegionSlicer"/>
            </a:graphicData>
          </a:graphic>
        </xdr:graphicFrame>
      </mc:Choice>
      <mc:Fallback>
        <xdr:sp macro="" textlink="">
          <xdr:nvSpPr>
            <xdr:cNvPr id="0" name=""/>
            <xdr:cNvSpPr>
              <a:spLocks noTextEdit="1"/>
            </xdr:cNvSpPr>
          </xdr:nvSpPr>
          <xdr:spPr>
            <a:xfrm>
              <a:off x="10864850" y="719667"/>
              <a:ext cx="2044700" cy="19854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12700</xdr:colOff>
      <xdr:row>9</xdr:row>
      <xdr:rowOff>38100</xdr:rowOff>
    </xdr:from>
    <xdr:to>
      <xdr:col>14</xdr:col>
      <xdr:colOff>0</xdr:colOff>
      <xdr:row>10</xdr:row>
      <xdr:rowOff>158750</xdr:rowOff>
    </xdr:to>
    <xdr:sp macro="[0]!Module1.GenerateDashboard" textlink="">
      <xdr:nvSpPr>
        <xdr:cNvPr id="2" name="Rectangle: Rounded Corners 1">
          <a:extLst>
            <a:ext uri="{FF2B5EF4-FFF2-40B4-BE49-F238E27FC236}">
              <a16:creationId xmlns:a16="http://schemas.microsoft.com/office/drawing/2014/main" id="{0BF9E8AB-D634-5B73-78E0-D2E442CB5085}"/>
            </a:ext>
          </a:extLst>
        </xdr:cNvPr>
        <xdr:cNvSpPr/>
      </xdr:nvSpPr>
      <xdr:spPr>
        <a:xfrm>
          <a:off x="9613900" y="1695450"/>
          <a:ext cx="1816100" cy="304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b="1"/>
            <a:t>GENERATE DASHBOARD</a:t>
          </a:r>
          <a:endParaRPr lang="en-US" sz="11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odday Mbah" refreshedDate="46275.158545254628" createdVersion="8" refreshedVersion="8" minRefreshableVersion="3" recordCount="1500" xr:uid="{F10395BF-4E87-40B6-A7D6-4E4A18A3C8EE}">
  <cacheSource type="worksheet">
    <worksheetSource ref="A1:I1501" sheet="Raw Data"/>
  </cacheSource>
  <cacheFields count="9">
    <cacheField name="Order_ID" numFmtId="0">
      <sharedItems/>
    </cacheField>
    <cacheField name="Order_Date" numFmtId="0">
      <sharedItems/>
    </cacheField>
    <cacheField name="Region" numFmtId="0">
      <sharedItems count="4">
        <s v="East"/>
        <s v="West"/>
        <s v="South"/>
        <s v="North"/>
      </sharedItems>
    </cacheField>
    <cacheField name="Segment" numFmtId="0">
      <sharedItems/>
    </cacheField>
    <cacheField name="Category" numFmtId="0">
      <sharedItems count="3">
        <s v="Furniture"/>
        <s v="Office Supplies"/>
        <s v="Technology"/>
      </sharedItems>
    </cacheField>
    <cacheField name="Sub_Category" numFmtId="0">
      <sharedItems/>
    </cacheField>
    <cacheField name="Sales" numFmtId="0">
      <sharedItems containsSemiMixedTypes="0" containsString="0" containsNumber="1" minValue="20.09" maxValue="1148.78"/>
    </cacheField>
    <cacheField name="Quantity" numFmtId="0">
      <sharedItems containsSemiMixedTypes="0" containsString="0" containsNumber="1" containsInteger="1" minValue="1" maxValue="9"/>
    </cacheField>
    <cacheField name="Profit" numFmtId="0">
      <sharedItems containsSemiMixedTypes="0" containsString="0" containsNumber="1" minValue="-183.72" maxValue="406.44"/>
    </cacheField>
  </cacheFields>
  <extLst>
    <ext xmlns:x14="http://schemas.microsoft.com/office/spreadsheetml/2009/9/main" uri="{725AE2AE-9491-48be-B2B4-4EB974FC3084}">
      <x14:pivotCacheDefinition pivotCacheId="13539943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0">
  <r>
    <s v="ORD-1000"/>
    <s v="2025-01-01"/>
    <x v="0"/>
    <s v="Consumer"/>
    <x v="0"/>
    <s v="Tables"/>
    <n v="746.81"/>
    <n v="2"/>
    <n v="-61.32"/>
  </r>
  <r>
    <s v="ORD-1001"/>
    <s v="2025-01-01"/>
    <x v="0"/>
    <s v="Consumer"/>
    <x v="1"/>
    <s v="Paper"/>
    <n v="312.29000000000002"/>
    <n v="6"/>
    <n v="-2.67"/>
  </r>
  <r>
    <s v="ORD-1002"/>
    <s v="2025-01-01"/>
    <x v="1"/>
    <s v="Corporate"/>
    <x v="1"/>
    <s v="Storage"/>
    <n v="35.369999999999997"/>
    <n v="6"/>
    <n v="9.34"/>
  </r>
  <r>
    <s v="ORD-1003"/>
    <s v="2025-01-01"/>
    <x v="2"/>
    <s v="Corporate"/>
    <x v="0"/>
    <s v="Chairs"/>
    <n v="203.82"/>
    <n v="8"/>
    <n v="-27.25"/>
  </r>
  <r>
    <s v="ORD-1004"/>
    <s v="2025-01-01"/>
    <x v="1"/>
    <s v="Corporate"/>
    <x v="2"/>
    <s v="Accessories"/>
    <n v="83.6"/>
    <n v="2"/>
    <n v="20.41"/>
  </r>
  <r>
    <s v="ORD-1005"/>
    <s v="2025-01-01"/>
    <x v="2"/>
    <s v="Consumer"/>
    <x v="2"/>
    <s v="Phones"/>
    <n v="21.05"/>
    <n v="9"/>
    <n v="6.2"/>
  </r>
  <r>
    <s v="ORD-1006"/>
    <s v="2025-01-02"/>
    <x v="3"/>
    <s v="Consumer"/>
    <x v="2"/>
    <s v="Phones"/>
    <n v="97.5"/>
    <n v="2"/>
    <n v="26.32"/>
  </r>
  <r>
    <s v="ORD-1007"/>
    <s v="2025-01-02"/>
    <x v="2"/>
    <s v="Corporate"/>
    <x v="1"/>
    <s v="Paper"/>
    <n v="60.13"/>
    <n v="1"/>
    <n v="15.6"/>
  </r>
  <r>
    <s v="ORD-1008"/>
    <s v="2025-01-02"/>
    <x v="0"/>
    <s v="Corporate"/>
    <x v="1"/>
    <s v="Storage"/>
    <n v="276.27999999999997"/>
    <n v="2"/>
    <n v="54.68"/>
  </r>
  <r>
    <s v="ORD-1009"/>
    <s v="2025-01-02"/>
    <x v="0"/>
    <s v="Home Office"/>
    <x v="1"/>
    <s v="Binders"/>
    <n v="81.72"/>
    <n v="7"/>
    <n v="5.22"/>
  </r>
  <r>
    <s v="ORD-1010"/>
    <s v="2025-01-02"/>
    <x v="2"/>
    <s v="Home Office"/>
    <x v="2"/>
    <s v="Laptops"/>
    <n v="283.62"/>
    <n v="8"/>
    <n v="132.69"/>
  </r>
  <r>
    <s v="ORD-1011"/>
    <s v="2025-01-02"/>
    <x v="2"/>
    <s v="Home Office"/>
    <x v="1"/>
    <s v="Binders"/>
    <n v="20.09"/>
    <n v="5"/>
    <n v="3.4"/>
  </r>
  <r>
    <s v="ORD-1012"/>
    <s v="2025-01-03"/>
    <x v="2"/>
    <s v="Consumer"/>
    <x v="1"/>
    <s v="Binders"/>
    <n v="75.19"/>
    <n v="6"/>
    <n v="10.17"/>
  </r>
  <r>
    <s v="ORD-1013"/>
    <s v="2025-01-03"/>
    <x v="1"/>
    <s v="Consumer"/>
    <x v="2"/>
    <s v="Accessories"/>
    <n v="61.4"/>
    <n v="1"/>
    <n v="21.27"/>
  </r>
  <r>
    <s v="ORD-1014"/>
    <s v="2025-01-03"/>
    <x v="2"/>
    <s v="Corporate"/>
    <x v="2"/>
    <s v="Accessories"/>
    <n v="59.9"/>
    <n v="6"/>
    <n v="16.47"/>
  </r>
  <r>
    <s v="ORD-1015"/>
    <s v="2025-01-03"/>
    <x v="3"/>
    <s v="Consumer"/>
    <x v="2"/>
    <s v="Accessories"/>
    <n v="30.59"/>
    <n v="8"/>
    <n v="8.8699999999999992"/>
  </r>
  <r>
    <s v="ORD-1016"/>
    <s v="2025-01-03"/>
    <x v="1"/>
    <s v="Consumer"/>
    <x v="0"/>
    <s v="Bookcases"/>
    <n v="51.08"/>
    <n v="3"/>
    <n v="10.18"/>
  </r>
  <r>
    <s v="ORD-1017"/>
    <s v="2025-01-03"/>
    <x v="1"/>
    <s v="Home Office"/>
    <x v="0"/>
    <s v="Bookcases"/>
    <n v="141.63999999999999"/>
    <n v="1"/>
    <n v="-10.98"/>
  </r>
  <r>
    <s v="ORD-1018"/>
    <s v="2025-01-04"/>
    <x v="2"/>
    <s v="Home Office"/>
    <x v="0"/>
    <s v="Chairs"/>
    <n v="71.66"/>
    <n v="4"/>
    <n v="-5.86"/>
  </r>
  <r>
    <s v="ORD-1019"/>
    <s v="2025-01-04"/>
    <x v="3"/>
    <s v="Consumer"/>
    <x v="2"/>
    <s v="Phones"/>
    <n v="101.04"/>
    <n v="1"/>
    <n v="26.44"/>
  </r>
  <r>
    <s v="ORD-1020"/>
    <s v="2025-01-04"/>
    <x v="1"/>
    <s v="Consumer"/>
    <x v="1"/>
    <s v="Binders"/>
    <n v="90.95"/>
    <n v="8"/>
    <n v="23.39"/>
  </r>
  <r>
    <s v="ORD-1021"/>
    <s v="2025-01-04"/>
    <x v="0"/>
    <s v="Consumer"/>
    <x v="2"/>
    <s v="Laptops"/>
    <n v="333.01"/>
    <n v="5"/>
    <n v="33.08"/>
  </r>
  <r>
    <s v="ORD-1022"/>
    <s v="2025-01-04"/>
    <x v="1"/>
    <s v="Home Office"/>
    <x v="2"/>
    <s v="Laptops"/>
    <n v="373.55"/>
    <n v="1"/>
    <n v="19.96"/>
  </r>
  <r>
    <s v="ORD-1023"/>
    <s v="2025-01-04"/>
    <x v="2"/>
    <s v="Home Office"/>
    <x v="0"/>
    <s v="Bookcases"/>
    <n v="121.87"/>
    <n v="8"/>
    <n v="-13.25"/>
  </r>
  <r>
    <s v="ORD-1024"/>
    <s v="2025-01-05"/>
    <x v="3"/>
    <s v="Consumer"/>
    <x v="0"/>
    <s v="Chairs"/>
    <n v="80.11"/>
    <n v="9"/>
    <n v="-17.09"/>
  </r>
  <r>
    <s v="ORD-1025"/>
    <s v="2025-01-05"/>
    <x v="2"/>
    <s v="Consumer"/>
    <x v="1"/>
    <s v="Binders"/>
    <n v="36.94"/>
    <n v="2"/>
    <n v="3.97"/>
  </r>
  <r>
    <s v="ORD-1026"/>
    <s v="2025-01-05"/>
    <x v="0"/>
    <s v="Home Office"/>
    <x v="2"/>
    <s v="Phones"/>
    <n v="479.93"/>
    <n v="9"/>
    <n v="144.1"/>
  </r>
  <r>
    <s v="ORD-1027"/>
    <s v="2025-01-05"/>
    <x v="0"/>
    <s v="Consumer"/>
    <x v="0"/>
    <s v="Bookcases"/>
    <n v="29.32"/>
    <n v="8"/>
    <n v="-4.08"/>
  </r>
  <r>
    <s v="ORD-1028"/>
    <s v="2025-01-05"/>
    <x v="0"/>
    <s v="Corporate"/>
    <x v="0"/>
    <s v="Bookcases"/>
    <n v="73"/>
    <n v="7"/>
    <n v="-14.07"/>
  </r>
  <r>
    <s v="ORD-1029"/>
    <s v="2025-01-05"/>
    <x v="2"/>
    <s v="Home Office"/>
    <x v="2"/>
    <s v="Laptops"/>
    <n v="73.09"/>
    <n v="3"/>
    <n v="18.78"/>
  </r>
  <r>
    <s v="ORD-1030"/>
    <s v="2025-01-06"/>
    <x v="1"/>
    <s v="Consumer"/>
    <x v="1"/>
    <s v="Storage"/>
    <n v="77.94"/>
    <n v="2"/>
    <n v="18.41"/>
  </r>
  <r>
    <s v="ORD-1031"/>
    <s v="2025-01-06"/>
    <x v="2"/>
    <s v="Corporate"/>
    <x v="2"/>
    <s v="Phones"/>
    <n v="46.92"/>
    <n v="7"/>
    <n v="3.78"/>
  </r>
  <r>
    <s v="ORD-1032"/>
    <s v="2025-01-06"/>
    <x v="3"/>
    <s v="Consumer"/>
    <x v="2"/>
    <s v="Accessories"/>
    <n v="249.29"/>
    <n v="5"/>
    <n v="82.77"/>
  </r>
  <r>
    <s v="ORD-1033"/>
    <s v="2025-01-06"/>
    <x v="1"/>
    <s v="Consumer"/>
    <x v="1"/>
    <s v="Binders"/>
    <n v="39.6"/>
    <n v="6"/>
    <n v="9.18"/>
  </r>
  <r>
    <s v="ORD-1034"/>
    <s v="2025-01-06"/>
    <x v="0"/>
    <s v="Home Office"/>
    <x v="1"/>
    <s v="Paper"/>
    <n v="171.14"/>
    <n v="4"/>
    <n v="42"/>
  </r>
  <r>
    <s v="ORD-1035"/>
    <s v="2025-01-06"/>
    <x v="2"/>
    <s v="Consumer"/>
    <x v="1"/>
    <s v="Paper"/>
    <n v="39.83"/>
    <n v="2"/>
    <n v="10.83"/>
  </r>
  <r>
    <s v="ORD-1036"/>
    <s v="2025-01-07"/>
    <x v="0"/>
    <s v="Home Office"/>
    <x v="0"/>
    <s v="Chairs"/>
    <n v="30.97"/>
    <n v="9"/>
    <n v="5.27"/>
  </r>
  <r>
    <s v="ORD-1037"/>
    <s v="2025-01-07"/>
    <x v="0"/>
    <s v="Corporate"/>
    <x v="2"/>
    <s v="Phones"/>
    <n v="380.24"/>
    <n v="3"/>
    <n v="81.52"/>
  </r>
  <r>
    <s v="ORD-1038"/>
    <s v="2025-01-07"/>
    <x v="3"/>
    <s v="Consumer"/>
    <x v="1"/>
    <s v="Paper"/>
    <n v="51.63"/>
    <n v="7"/>
    <n v="8.31"/>
  </r>
  <r>
    <s v="ORD-1039"/>
    <s v="2025-01-07"/>
    <x v="1"/>
    <s v="Consumer"/>
    <x v="0"/>
    <s v="Bookcases"/>
    <n v="278.27"/>
    <n v="8"/>
    <n v="-25.5"/>
  </r>
  <r>
    <s v="ORD-1040"/>
    <s v="2025-01-07"/>
    <x v="3"/>
    <s v="Consumer"/>
    <x v="2"/>
    <s v="Phones"/>
    <n v="138"/>
    <n v="2"/>
    <n v="34.53"/>
  </r>
  <r>
    <s v="ORD-1041"/>
    <s v="2025-01-07"/>
    <x v="3"/>
    <s v="Consumer"/>
    <x v="0"/>
    <s v="Bookcases"/>
    <n v="32.159999999999997"/>
    <n v="6"/>
    <n v="3.32"/>
  </r>
  <r>
    <s v="ORD-1042"/>
    <s v="2025-01-08"/>
    <x v="3"/>
    <s v="Consumer"/>
    <x v="2"/>
    <s v="Laptops"/>
    <n v="486.67"/>
    <n v="8"/>
    <n v="56.21"/>
  </r>
  <r>
    <s v="ORD-1043"/>
    <s v="2025-01-08"/>
    <x v="0"/>
    <s v="Consumer"/>
    <x v="1"/>
    <s v="Paper"/>
    <n v="62.55"/>
    <n v="7"/>
    <n v="4"/>
  </r>
  <r>
    <s v="ORD-1044"/>
    <s v="2025-01-08"/>
    <x v="3"/>
    <s v="Consumer"/>
    <x v="2"/>
    <s v="Accessories"/>
    <n v="314.54000000000002"/>
    <n v="3"/>
    <n v="121.95"/>
  </r>
  <r>
    <s v="ORD-1045"/>
    <s v="2025-01-08"/>
    <x v="3"/>
    <s v="Corporate"/>
    <x v="1"/>
    <s v="Paper"/>
    <n v="47.73"/>
    <n v="1"/>
    <n v="12.03"/>
  </r>
  <r>
    <s v="ORD-1046"/>
    <s v="2025-01-08"/>
    <x v="1"/>
    <s v="Corporate"/>
    <x v="0"/>
    <s v="Tables"/>
    <n v="308.56"/>
    <n v="6"/>
    <n v="-26.63"/>
  </r>
  <r>
    <s v="ORD-1047"/>
    <s v="2025-01-08"/>
    <x v="1"/>
    <s v="Corporate"/>
    <x v="0"/>
    <s v="Chairs"/>
    <n v="22"/>
    <n v="8"/>
    <n v="0.78"/>
  </r>
  <r>
    <s v="ORD-1048"/>
    <s v="2025-01-09"/>
    <x v="3"/>
    <s v="Consumer"/>
    <x v="0"/>
    <s v="Chairs"/>
    <n v="127.55"/>
    <n v="6"/>
    <n v="-2.0299999999999998"/>
  </r>
  <r>
    <s v="ORD-1049"/>
    <s v="2025-01-09"/>
    <x v="1"/>
    <s v="Consumer"/>
    <x v="2"/>
    <s v="Accessories"/>
    <n v="240.09"/>
    <n v="5"/>
    <n v="96.04"/>
  </r>
  <r>
    <s v="ORD-1050"/>
    <s v="2025-01-09"/>
    <x v="1"/>
    <s v="Corporate"/>
    <x v="1"/>
    <s v="Storage"/>
    <n v="429.53"/>
    <n v="8"/>
    <n v="67.63"/>
  </r>
  <r>
    <s v="ORD-1051"/>
    <s v="2025-01-09"/>
    <x v="3"/>
    <s v="Consumer"/>
    <x v="1"/>
    <s v="Paper"/>
    <n v="379.87"/>
    <n v="2"/>
    <n v="95.94"/>
  </r>
  <r>
    <s v="ORD-1052"/>
    <s v="2025-01-09"/>
    <x v="0"/>
    <s v="Consumer"/>
    <x v="1"/>
    <s v="Binders"/>
    <n v="276.91000000000003"/>
    <n v="1"/>
    <n v="114.7"/>
  </r>
  <r>
    <s v="ORD-1053"/>
    <s v="2025-01-09"/>
    <x v="3"/>
    <s v="Home Office"/>
    <x v="1"/>
    <s v="Binders"/>
    <n v="348.64"/>
    <n v="1"/>
    <n v="73.150000000000006"/>
  </r>
  <r>
    <s v="ORD-1054"/>
    <s v="2025-01-10"/>
    <x v="1"/>
    <s v="Corporate"/>
    <x v="0"/>
    <s v="Bookcases"/>
    <n v="53.33"/>
    <n v="4"/>
    <n v="-2.4"/>
  </r>
  <r>
    <s v="ORD-1055"/>
    <s v="2025-01-10"/>
    <x v="0"/>
    <s v="Corporate"/>
    <x v="1"/>
    <s v="Paper"/>
    <n v="70.150000000000006"/>
    <n v="6"/>
    <n v="15.59"/>
  </r>
  <r>
    <s v="ORD-1056"/>
    <s v="2025-01-10"/>
    <x v="2"/>
    <s v="Consumer"/>
    <x v="2"/>
    <s v="Laptops"/>
    <n v="71.16"/>
    <n v="9"/>
    <n v="15.19"/>
  </r>
  <r>
    <s v="ORD-1057"/>
    <s v="2025-01-10"/>
    <x v="0"/>
    <s v="Corporate"/>
    <x v="2"/>
    <s v="Phones"/>
    <n v="90.99"/>
    <n v="1"/>
    <n v="44.48"/>
  </r>
  <r>
    <s v="ORD-1058"/>
    <s v="2025-01-10"/>
    <x v="1"/>
    <s v="Corporate"/>
    <x v="2"/>
    <s v="Laptops"/>
    <n v="94.96"/>
    <n v="1"/>
    <n v="25.45"/>
  </r>
  <r>
    <s v="ORD-1059"/>
    <s v="2025-01-10"/>
    <x v="0"/>
    <s v="Corporate"/>
    <x v="0"/>
    <s v="Bookcases"/>
    <n v="137.97"/>
    <n v="5"/>
    <n v="-10.66"/>
  </r>
  <r>
    <s v="ORD-1060"/>
    <s v="2025-01-11"/>
    <x v="3"/>
    <s v="Corporate"/>
    <x v="0"/>
    <s v="Bookcases"/>
    <n v="46.13"/>
    <n v="5"/>
    <n v="-6.16"/>
  </r>
  <r>
    <s v="ORD-1061"/>
    <s v="2025-01-11"/>
    <x v="2"/>
    <s v="Home Office"/>
    <x v="2"/>
    <s v="Phones"/>
    <n v="196.28"/>
    <n v="5"/>
    <n v="70.61"/>
  </r>
  <r>
    <s v="ORD-1062"/>
    <s v="2025-01-11"/>
    <x v="2"/>
    <s v="Corporate"/>
    <x v="1"/>
    <s v="Paper"/>
    <n v="47.51"/>
    <n v="6"/>
    <n v="11.25"/>
  </r>
  <r>
    <s v="ORD-1063"/>
    <s v="2025-01-11"/>
    <x v="2"/>
    <s v="Consumer"/>
    <x v="0"/>
    <s v="Chairs"/>
    <n v="75.73"/>
    <n v="8"/>
    <n v="-7.55"/>
  </r>
  <r>
    <s v="ORD-1064"/>
    <s v="2025-01-11"/>
    <x v="1"/>
    <s v="Corporate"/>
    <x v="2"/>
    <s v="Accessories"/>
    <n v="124.98"/>
    <n v="3"/>
    <n v="38.450000000000003"/>
  </r>
  <r>
    <s v="ORD-1065"/>
    <s v="2025-01-11"/>
    <x v="1"/>
    <s v="Corporate"/>
    <x v="0"/>
    <s v="Tables"/>
    <n v="258.77"/>
    <n v="9"/>
    <n v="-51.98"/>
  </r>
  <r>
    <s v="ORD-1066"/>
    <s v="2025-01-12"/>
    <x v="2"/>
    <s v="Corporate"/>
    <x v="2"/>
    <s v="Laptops"/>
    <n v="221.76"/>
    <n v="1"/>
    <n v="59.54"/>
  </r>
  <r>
    <s v="ORD-1067"/>
    <s v="2025-01-12"/>
    <x v="0"/>
    <s v="Consumer"/>
    <x v="1"/>
    <s v="Paper"/>
    <n v="175.57"/>
    <n v="4"/>
    <n v="34.28"/>
  </r>
  <r>
    <s v="ORD-1068"/>
    <s v="2025-01-12"/>
    <x v="2"/>
    <s v="Consumer"/>
    <x v="2"/>
    <s v="Phones"/>
    <n v="45.4"/>
    <n v="9"/>
    <n v="19.100000000000001"/>
  </r>
  <r>
    <s v="ORD-1069"/>
    <s v="2025-01-12"/>
    <x v="0"/>
    <s v="Home Office"/>
    <x v="1"/>
    <s v="Storage"/>
    <n v="138.79"/>
    <n v="8"/>
    <n v="10.119999999999999"/>
  </r>
  <r>
    <s v="ORD-1070"/>
    <s v="2025-01-12"/>
    <x v="0"/>
    <s v="Corporate"/>
    <x v="1"/>
    <s v="Paper"/>
    <n v="33.729999999999997"/>
    <n v="9"/>
    <n v="0.75"/>
  </r>
  <r>
    <s v="ORD-1071"/>
    <s v="2025-01-12"/>
    <x v="1"/>
    <s v="Home Office"/>
    <x v="2"/>
    <s v="Laptops"/>
    <n v="91.07"/>
    <n v="1"/>
    <n v="14.61"/>
  </r>
  <r>
    <s v="ORD-1072"/>
    <s v="2025-01-13"/>
    <x v="0"/>
    <s v="Corporate"/>
    <x v="2"/>
    <s v="Laptops"/>
    <n v="100.04"/>
    <n v="9"/>
    <n v="11.64"/>
  </r>
  <r>
    <s v="ORD-1073"/>
    <s v="2025-01-13"/>
    <x v="2"/>
    <s v="Corporate"/>
    <x v="1"/>
    <s v="Storage"/>
    <n v="26.09"/>
    <n v="3"/>
    <n v="7.4"/>
  </r>
  <r>
    <s v="ORD-1074"/>
    <s v="2025-01-13"/>
    <x v="1"/>
    <s v="Corporate"/>
    <x v="1"/>
    <s v="Binders"/>
    <n v="68.03"/>
    <n v="9"/>
    <n v="20.74"/>
  </r>
  <r>
    <s v="ORD-1075"/>
    <s v="2025-01-13"/>
    <x v="3"/>
    <s v="Home Office"/>
    <x v="1"/>
    <s v="Paper"/>
    <n v="487.34"/>
    <n v="1"/>
    <n v="88.71"/>
  </r>
  <r>
    <s v="ORD-1076"/>
    <s v="2025-01-13"/>
    <x v="3"/>
    <s v="Corporate"/>
    <x v="1"/>
    <s v="Paper"/>
    <n v="480.67"/>
    <n v="1"/>
    <n v="130.80000000000001"/>
  </r>
  <r>
    <s v="ORD-1077"/>
    <s v="2025-01-13"/>
    <x v="1"/>
    <s v="Corporate"/>
    <x v="2"/>
    <s v="Phones"/>
    <n v="85.16"/>
    <n v="9"/>
    <n v="22.43"/>
  </r>
  <r>
    <s v="ORD-1078"/>
    <s v="2025-01-14"/>
    <x v="2"/>
    <s v="Consumer"/>
    <x v="0"/>
    <s v="Tables"/>
    <n v="26.61"/>
    <n v="6"/>
    <n v="-1.58"/>
  </r>
  <r>
    <s v="ORD-1079"/>
    <s v="2025-01-14"/>
    <x v="3"/>
    <s v="Consumer"/>
    <x v="2"/>
    <s v="Phones"/>
    <n v="49.6"/>
    <n v="4"/>
    <n v="10.75"/>
  </r>
  <r>
    <s v="ORD-1080"/>
    <s v="2025-01-14"/>
    <x v="3"/>
    <s v="Corporate"/>
    <x v="1"/>
    <s v="Paper"/>
    <n v="94.69"/>
    <n v="7"/>
    <n v="11.26"/>
  </r>
  <r>
    <s v="ORD-1081"/>
    <s v="2025-01-14"/>
    <x v="0"/>
    <s v="Consumer"/>
    <x v="1"/>
    <s v="Storage"/>
    <n v="462.84"/>
    <n v="5"/>
    <n v="-2.21"/>
  </r>
  <r>
    <s v="ORD-1082"/>
    <s v="2025-01-14"/>
    <x v="0"/>
    <s v="Consumer"/>
    <x v="0"/>
    <s v="Bookcases"/>
    <n v="42.83"/>
    <n v="7"/>
    <n v="-1.01"/>
  </r>
  <r>
    <s v="ORD-1083"/>
    <s v="2025-01-14"/>
    <x v="2"/>
    <s v="Consumer"/>
    <x v="2"/>
    <s v="Accessories"/>
    <n v="236.28"/>
    <n v="8"/>
    <n v="58.12"/>
  </r>
  <r>
    <s v="ORD-1084"/>
    <s v="2025-01-15"/>
    <x v="1"/>
    <s v="Consumer"/>
    <x v="0"/>
    <s v="Tables"/>
    <n v="37.26"/>
    <n v="8"/>
    <n v="0.91"/>
  </r>
  <r>
    <s v="ORD-1085"/>
    <s v="2025-01-15"/>
    <x v="2"/>
    <s v="Consumer"/>
    <x v="0"/>
    <s v="Chairs"/>
    <n v="616.54"/>
    <n v="1"/>
    <n v="-25.06"/>
  </r>
  <r>
    <s v="ORD-1086"/>
    <s v="2025-01-15"/>
    <x v="1"/>
    <s v="Consumer"/>
    <x v="1"/>
    <s v="Storage"/>
    <n v="92.1"/>
    <n v="8"/>
    <n v="12.32"/>
  </r>
  <r>
    <s v="ORD-1087"/>
    <s v="2025-01-15"/>
    <x v="3"/>
    <s v="Home Office"/>
    <x v="1"/>
    <s v="Paper"/>
    <n v="243.9"/>
    <n v="6"/>
    <n v="15.34"/>
  </r>
  <r>
    <s v="ORD-1088"/>
    <s v="2025-01-15"/>
    <x v="0"/>
    <s v="Corporate"/>
    <x v="1"/>
    <s v="Storage"/>
    <n v="82.92"/>
    <n v="4"/>
    <n v="13.04"/>
  </r>
  <r>
    <s v="ORD-1089"/>
    <s v="2025-01-15"/>
    <x v="2"/>
    <s v="Consumer"/>
    <x v="0"/>
    <s v="Tables"/>
    <n v="168.2"/>
    <n v="8"/>
    <n v="4.01"/>
  </r>
  <r>
    <s v="ORD-1090"/>
    <s v="2025-01-16"/>
    <x v="2"/>
    <s v="Consumer"/>
    <x v="2"/>
    <s v="Laptops"/>
    <n v="51.98"/>
    <n v="3"/>
    <n v="7.05"/>
  </r>
  <r>
    <s v="ORD-1091"/>
    <s v="2025-01-16"/>
    <x v="1"/>
    <s v="Corporate"/>
    <x v="1"/>
    <s v="Storage"/>
    <n v="43.68"/>
    <n v="4"/>
    <n v="6.93"/>
  </r>
  <r>
    <s v="ORD-1092"/>
    <s v="2025-01-16"/>
    <x v="1"/>
    <s v="Consumer"/>
    <x v="1"/>
    <s v="Paper"/>
    <n v="437.25"/>
    <n v="6"/>
    <n v="75.78"/>
  </r>
  <r>
    <s v="ORD-1093"/>
    <s v="2025-01-16"/>
    <x v="2"/>
    <s v="Home Office"/>
    <x v="0"/>
    <s v="Bookcases"/>
    <n v="394.51"/>
    <n v="7"/>
    <n v="-48.05"/>
  </r>
  <r>
    <s v="ORD-1094"/>
    <s v="2025-01-16"/>
    <x v="1"/>
    <s v="Corporate"/>
    <x v="1"/>
    <s v="Binders"/>
    <n v="347.68"/>
    <n v="4"/>
    <n v="31.71"/>
  </r>
  <r>
    <s v="ORD-1095"/>
    <s v="2025-01-16"/>
    <x v="2"/>
    <s v="Corporate"/>
    <x v="0"/>
    <s v="Tables"/>
    <n v="167.3"/>
    <n v="4"/>
    <n v="-4.51"/>
  </r>
  <r>
    <s v="ORD-1096"/>
    <s v="2025-01-17"/>
    <x v="2"/>
    <s v="Consumer"/>
    <x v="0"/>
    <s v="Chairs"/>
    <n v="267.75"/>
    <n v="7"/>
    <n v="-43.73"/>
  </r>
  <r>
    <s v="ORD-1097"/>
    <s v="2025-01-17"/>
    <x v="2"/>
    <s v="Corporate"/>
    <x v="0"/>
    <s v="Tables"/>
    <n v="30.73"/>
    <n v="6"/>
    <n v="-0.46"/>
  </r>
  <r>
    <s v="ORD-1098"/>
    <s v="2025-01-17"/>
    <x v="3"/>
    <s v="Consumer"/>
    <x v="2"/>
    <s v="Laptops"/>
    <n v="81.150000000000006"/>
    <n v="8"/>
    <n v="13.02"/>
  </r>
  <r>
    <s v="ORD-1099"/>
    <s v="2025-01-17"/>
    <x v="1"/>
    <s v="Home Office"/>
    <x v="2"/>
    <s v="Accessories"/>
    <n v="76.47"/>
    <n v="1"/>
    <n v="27.25"/>
  </r>
  <r>
    <s v="ORD-1100"/>
    <s v="2025-01-17"/>
    <x v="0"/>
    <s v="Corporate"/>
    <x v="2"/>
    <s v="Phones"/>
    <n v="171.44"/>
    <n v="7"/>
    <n v="82.94"/>
  </r>
  <r>
    <s v="ORD-1101"/>
    <s v="2025-01-17"/>
    <x v="0"/>
    <s v="Consumer"/>
    <x v="1"/>
    <s v="Binders"/>
    <n v="86"/>
    <n v="7"/>
    <n v="5.5"/>
  </r>
  <r>
    <s v="ORD-1102"/>
    <s v="2025-01-18"/>
    <x v="1"/>
    <s v="Consumer"/>
    <x v="0"/>
    <s v="Tables"/>
    <n v="44.11"/>
    <n v="7"/>
    <n v="0.15"/>
  </r>
  <r>
    <s v="ORD-1103"/>
    <s v="2025-01-18"/>
    <x v="2"/>
    <s v="Consumer"/>
    <x v="0"/>
    <s v="Chairs"/>
    <n v="156.12"/>
    <n v="7"/>
    <n v="-19.149999999999999"/>
  </r>
  <r>
    <s v="ORD-1104"/>
    <s v="2025-01-18"/>
    <x v="0"/>
    <s v="Corporate"/>
    <x v="1"/>
    <s v="Binders"/>
    <n v="272.61"/>
    <n v="8"/>
    <n v="69.27"/>
  </r>
  <r>
    <s v="ORD-1105"/>
    <s v="2025-01-18"/>
    <x v="0"/>
    <s v="Consumer"/>
    <x v="2"/>
    <s v="Phones"/>
    <n v="92.22"/>
    <n v="9"/>
    <n v="11.39"/>
  </r>
  <r>
    <s v="ORD-1106"/>
    <s v="2025-01-18"/>
    <x v="1"/>
    <s v="Corporate"/>
    <x v="0"/>
    <s v="Bookcases"/>
    <n v="41.28"/>
    <n v="9"/>
    <n v="-0.08"/>
  </r>
  <r>
    <s v="ORD-1107"/>
    <s v="2025-01-18"/>
    <x v="0"/>
    <s v="Consumer"/>
    <x v="1"/>
    <s v="Paper"/>
    <n v="52.85"/>
    <n v="2"/>
    <n v="3.31"/>
  </r>
  <r>
    <s v="ORD-1108"/>
    <s v="2025-01-19"/>
    <x v="2"/>
    <s v="Corporate"/>
    <x v="2"/>
    <s v="Phones"/>
    <n v="60.67"/>
    <n v="7"/>
    <n v="13.91"/>
  </r>
  <r>
    <s v="ORD-1109"/>
    <s v="2025-01-19"/>
    <x v="1"/>
    <s v="Home Office"/>
    <x v="2"/>
    <s v="Laptops"/>
    <n v="73.48"/>
    <n v="7"/>
    <n v="10.79"/>
  </r>
  <r>
    <s v="ORD-1110"/>
    <s v="2025-01-19"/>
    <x v="2"/>
    <s v="Corporate"/>
    <x v="2"/>
    <s v="Phones"/>
    <n v="174.42"/>
    <n v="4"/>
    <n v="57.95"/>
  </r>
  <r>
    <s v="ORD-1111"/>
    <s v="2025-01-19"/>
    <x v="0"/>
    <s v="Corporate"/>
    <x v="2"/>
    <s v="Phones"/>
    <n v="157.80000000000001"/>
    <n v="9"/>
    <n v="26.24"/>
  </r>
  <r>
    <s v="ORD-1112"/>
    <s v="2025-01-19"/>
    <x v="0"/>
    <s v="Consumer"/>
    <x v="1"/>
    <s v="Paper"/>
    <n v="198.65"/>
    <n v="8"/>
    <n v="40.76"/>
  </r>
  <r>
    <s v="ORD-1113"/>
    <s v="2025-01-19"/>
    <x v="2"/>
    <s v="Consumer"/>
    <x v="1"/>
    <s v="Storage"/>
    <n v="87.53"/>
    <n v="1"/>
    <n v="10.119999999999999"/>
  </r>
  <r>
    <s v="ORD-1114"/>
    <s v="2025-01-20"/>
    <x v="3"/>
    <s v="Corporate"/>
    <x v="1"/>
    <s v="Binders"/>
    <n v="280.58999999999997"/>
    <n v="2"/>
    <n v="38.880000000000003"/>
  </r>
  <r>
    <s v="ORD-1115"/>
    <s v="2025-01-20"/>
    <x v="0"/>
    <s v="Consumer"/>
    <x v="1"/>
    <s v="Binders"/>
    <n v="54.24"/>
    <n v="2"/>
    <n v="8.94"/>
  </r>
  <r>
    <s v="ORD-1116"/>
    <s v="2025-01-20"/>
    <x v="3"/>
    <s v="Consumer"/>
    <x v="1"/>
    <s v="Binders"/>
    <n v="114.96"/>
    <n v="8"/>
    <n v="8.49"/>
  </r>
  <r>
    <s v="ORD-1117"/>
    <s v="2025-01-20"/>
    <x v="0"/>
    <s v="Consumer"/>
    <x v="2"/>
    <s v="Laptops"/>
    <n v="262.12"/>
    <n v="1"/>
    <n v="71.040000000000006"/>
  </r>
  <r>
    <s v="ORD-1118"/>
    <s v="2025-01-20"/>
    <x v="3"/>
    <s v="Consumer"/>
    <x v="1"/>
    <s v="Paper"/>
    <n v="49.8"/>
    <n v="4"/>
    <n v="15.09"/>
  </r>
  <r>
    <s v="ORD-1119"/>
    <s v="2025-01-20"/>
    <x v="3"/>
    <s v="Consumer"/>
    <x v="0"/>
    <s v="Chairs"/>
    <n v="37.46"/>
    <n v="5"/>
    <n v="-4.79"/>
  </r>
  <r>
    <s v="ORD-1120"/>
    <s v="2025-01-21"/>
    <x v="3"/>
    <s v="Home Office"/>
    <x v="1"/>
    <s v="Paper"/>
    <n v="342.72"/>
    <n v="9"/>
    <n v="91.57"/>
  </r>
  <r>
    <s v="ORD-1121"/>
    <s v="2025-01-21"/>
    <x v="2"/>
    <s v="Consumer"/>
    <x v="1"/>
    <s v="Storage"/>
    <n v="82.99"/>
    <n v="7"/>
    <n v="24.88"/>
  </r>
  <r>
    <s v="ORD-1122"/>
    <s v="2025-01-21"/>
    <x v="3"/>
    <s v="Corporate"/>
    <x v="0"/>
    <s v="Chairs"/>
    <n v="192.74"/>
    <n v="8"/>
    <n v="-25.37"/>
  </r>
  <r>
    <s v="ORD-1123"/>
    <s v="2025-01-21"/>
    <x v="3"/>
    <s v="Consumer"/>
    <x v="2"/>
    <s v="Phones"/>
    <n v="23.85"/>
    <n v="9"/>
    <n v="2.4900000000000002"/>
  </r>
  <r>
    <s v="ORD-1124"/>
    <s v="2025-01-21"/>
    <x v="3"/>
    <s v="Corporate"/>
    <x v="2"/>
    <s v="Accessories"/>
    <n v="195.7"/>
    <n v="7"/>
    <n v="54.83"/>
  </r>
  <r>
    <s v="ORD-1125"/>
    <s v="2025-01-21"/>
    <x v="0"/>
    <s v="Consumer"/>
    <x v="0"/>
    <s v="Chairs"/>
    <n v="76.989999999999995"/>
    <n v="5"/>
    <n v="-8.06"/>
  </r>
  <r>
    <s v="ORD-1126"/>
    <s v="2025-01-22"/>
    <x v="3"/>
    <s v="Home Office"/>
    <x v="1"/>
    <s v="Paper"/>
    <n v="28.6"/>
    <n v="5"/>
    <n v="9.6300000000000008"/>
  </r>
  <r>
    <s v="ORD-1127"/>
    <s v="2025-01-22"/>
    <x v="0"/>
    <s v="Home Office"/>
    <x v="1"/>
    <s v="Binders"/>
    <n v="161.16999999999999"/>
    <n v="6"/>
    <n v="24.74"/>
  </r>
  <r>
    <s v="ORD-1128"/>
    <s v="2025-01-22"/>
    <x v="3"/>
    <s v="Consumer"/>
    <x v="2"/>
    <s v="Laptops"/>
    <n v="61.32"/>
    <n v="5"/>
    <n v="10.41"/>
  </r>
  <r>
    <s v="ORD-1129"/>
    <s v="2025-01-22"/>
    <x v="3"/>
    <s v="Home Office"/>
    <x v="0"/>
    <s v="Chairs"/>
    <n v="93.36"/>
    <n v="9"/>
    <n v="-15.38"/>
  </r>
  <r>
    <s v="ORD-1130"/>
    <s v="2025-01-22"/>
    <x v="2"/>
    <s v="Home Office"/>
    <x v="0"/>
    <s v="Tables"/>
    <n v="32.6"/>
    <n v="3"/>
    <n v="1.92"/>
  </r>
  <r>
    <s v="ORD-1131"/>
    <s v="2025-01-22"/>
    <x v="0"/>
    <s v="Home Office"/>
    <x v="2"/>
    <s v="Laptops"/>
    <n v="43.88"/>
    <n v="3"/>
    <n v="8.4600000000000009"/>
  </r>
  <r>
    <s v="ORD-1132"/>
    <s v="2025-01-23"/>
    <x v="3"/>
    <s v="Home Office"/>
    <x v="2"/>
    <s v="Accessories"/>
    <n v="73.069999999999993"/>
    <n v="7"/>
    <n v="18.59"/>
  </r>
  <r>
    <s v="ORD-1133"/>
    <s v="2025-01-23"/>
    <x v="0"/>
    <s v="Consumer"/>
    <x v="0"/>
    <s v="Tables"/>
    <n v="34.11"/>
    <n v="7"/>
    <n v="1.55"/>
  </r>
  <r>
    <s v="ORD-1134"/>
    <s v="2025-01-23"/>
    <x v="0"/>
    <s v="Corporate"/>
    <x v="1"/>
    <s v="Storage"/>
    <n v="382.58"/>
    <n v="6"/>
    <n v="38.86"/>
  </r>
  <r>
    <s v="ORD-1135"/>
    <s v="2025-01-23"/>
    <x v="1"/>
    <s v="Consumer"/>
    <x v="0"/>
    <s v="Bookcases"/>
    <n v="20.91"/>
    <n v="3"/>
    <n v="-1.1399999999999999"/>
  </r>
  <r>
    <s v="ORD-1136"/>
    <s v="2025-01-23"/>
    <x v="2"/>
    <s v="Consumer"/>
    <x v="0"/>
    <s v="Chairs"/>
    <n v="119.21"/>
    <n v="7"/>
    <n v="-6.16"/>
  </r>
  <r>
    <s v="ORD-1137"/>
    <s v="2025-01-23"/>
    <x v="2"/>
    <s v="Home Office"/>
    <x v="1"/>
    <s v="Storage"/>
    <n v="39.729999999999997"/>
    <n v="5"/>
    <n v="8.67"/>
  </r>
  <r>
    <s v="ORD-1138"/>
    <s v="2025-01-24"/>
    <x v="2"/>
    <s v="Consumer"/>
    <x v="0"/>
    <s v="Bookcases"/>
    <n v="75.16"/>
    <n v="7"/>
    <n v="0.68"/>
  </r>
  <r>
    <s v="ORD-1139"/>
    <s v="2025-01-24"/>
    <x v="1"/>
    <s v="Corporate"/>
    <x v="1"/>
    <s v="Binders"/>
    <n v="410.67"/>
    <n v="2"/>
    <n v="52.56"/>
  </r>
  <r>
    <s v="ORD-1140"/>
    <s v="2025-01-24"/>
    <x v="1"/>
    <s v="Home Office"/>
    <x v="1"/>
    <s v="Paper"/>
    <n v="46.46"/>
    <n v="6"/>
    <n v="7.26"/>
  </r>
  <r>
    <s v="ORD-1141"/>
    <s v="2025-01-24"/>
    <x v="2"/>
    <s v="Home Office"/>
    <x v="2"/>
    <s v="Laptops"/>
    <n v="526.47"/>
    <n v="8"/>
    <n v="112.04"/>
  </r>
  <r>
    <s v="ORD-1142"/>
    <s v="2025-01-24"/>
    <x v="1"/>
    <s v="Home Office"/>
    <x v="0"/>
    <s v="Tables"/>
    <n v="54.56"/>
    <n v="1"/>
    <n v="-10.79"/>
  </r>
  <r>
    <s v="ORD-1143"/>
    <s v="2025-01-24"/>
    <x v="1"/>
    <s v="Consumer"/>
    <x v="0"/>
    <s v="Tables"/>
    <n v="222.97"/>
    <n v="4"/>
    <n v="-5.4"/>
  </r>
  <r>
    <s v="ORD-1144"/>
    <s v="2025-01-25"/>
    <x v="1"/>
    <s v="Consumer"/>
    <x v="2"/>
    <s v="Accessories"/>
    <n v="138.66999999999999"/>
    <n v="1"/>
    <n v="60.91"/>
  </r>
  <r>
    <s v="ORD-1145"/>
    <s v="2025-01-25"/>
    <x v="2"/>
    <s v="Consumer"/>
    <x v="2"/>
    <s v="Laptops"/>
    <n v="343.75"/>
    <n v="1"/>
    <n v="55.56"/>
  </r>
  <r>
    <s v="ORD-1146"/>
    <s v="2025-01-25"/>
    <x v="2"/>
    <s v="Consumer"/>
    <x v="1"/>
    <s v="Storage"/>
    <n v="141.11000000000001"/>
    <n v="8"/>
    <n v="10.26"/>
  </r>
  <r>
    <s v="ORD-1147"/>
    <s v="2025-01-25"/>
    <x v="2"/>
    <s v="Consumer"/>
    <x v="0"/>
    <s v="Tables"/>
    <n v="134.72"/>
    <n v="7"/>
    <n v="-18.47"/>
  </r>
  <r>
    <s v="ORD-1148"/>
    <s v="2025-01-25"/>
    <x v="1"/>
    <s v="Consumer"/>
    <x v="2"/>
    <s v="Phones"/>
    <n v="52.62"/>
    <n v="1"/>
    <n v="16.97"/>
  </r>
  <r>
    <s v="ORD-1149"/>
    <s v="2025-01-25"/>
    <x v="2"/>
    <s v="Corporate"/>
    <x v="2"/>
    <s v="Phones"/>
    <n v="47.27"/>
    <n v="2"/>
    <n v="13.94"/>
  </r>
  <r>
    <s v="ORD-1150"/>
    <s v="2025-01-26"/>
    <x v="1"/>
    <s v="Corporate"/>
    <x v="1"/>
    <s v="Binders"/>
    <n v="392.42"/>
    <n v="4"/>
    <n v="52.64"/>
  </r>
  <r>
    <s v="ORD-1151"/>
    <s v="2025-01-26"/>
    <x v="3"/>
    <s v="Consumer"/>
    <x v="2"/>
    <s v="Phones"/>
    <n v="79.59"/>
    <n v="1"/>
    <n v="12.59"/>
  </r>
  <r>
    <s v="ORD-1152"/>
    <s v="2025-01-26"/>
    <x v="1"/>
    <s v="Corporate"/>
    <x v="2"/>
    <s v="Phones"/>
    <n v="89.8"/>
    <n v="3"/>
    <n v="23.28"/>
  </r>
  <r>
    <s v="ORD-1153"/>
    <s v="2025-01-26"/>
    <x v="0"/>
    <s v="Consumer"/>
    <x v="0"/>
    <s v="Bookcases"/>
    <n v="233.96"/>
    <n v="8"/>
    <n v="-48.3"/>
  </r>
  <r>
    <s v="ORD-1154"/>
    <s v="2025-01-26"/>
    <x v="2"/>
    <s v="Consumer"/>
    <x v="1"/>
    <s v="Paper"/>
    <n v="82.06"/>
    <n v="8"/>
    <n v="13.49"/>
  </r>
  <r>
    <s v="ORD-1155"/>
    <s v="2025-01-26"/>
    <x v="2"/>
    <s v="Corporate"/>
    <x v="2"/>
    <s v="Phones"/>
    <n v="475.68"/>
    <n v="8"/>
    <n v="160.38"/>
  </r>
  <r>
    <s v="ORD-1156"/>
    <s v="2025-01-27"/>
    <x v="0"/>
    <s v="Corporate"/>
    <x v="1"/>
    <s v="Binders"/>
    <n v="220.87"/>
    <n v="6"/>
    <n v="5.5"/>
  </r>
  <r>
    <s v="ORD-1157"/>
    <s v="2025-01-27"/>
    <x v="1"/>
    <s v="Corporate"/>
    <x v="1"/>
    <s v="Storage"/>
    <n v="156.47999999999999"/>
    <n v="6"/>
    <n v="-0.51"/>
  </r>
  <r>
    <s v="ORD-1158"/>
    <s v="2025-01-27"/>
    <x v="3"/>
    <s v="Consumer"/>
    <x v="2"/>
    <s v="Phones"/>
    <n v="339.16"/>
    <n v="5"/>
    <n v="138.36000000000001"/>
  </r>
  <r>
    <s v="ORD-1159"/>
    <s v="2025-01-27"/>
    <x v="0"/>
    <s v="Home Office"/>
    <x v="1"/>
    <s v="Paper"/>
    <n v="27.63"/>
    <n v="9"/>
    <n v="2.4500000000000002"/>
  </r>
  <r>
    <s v="ORD-1160"/>
    <s v="2025-01-27"/>
    <x v="0"/>
    <s v="Corporate"/>
    <x v="0"/>
    <s v="Chairs"/>
    <n v="64.569999999999993"/>
    <n v="4"/>
    <n v="4.1100000000000003"/>
  </r>
  <r>
    <s v="ORD-1161"/>
    <s v="2025-01-27"/>
    <x v="1"/>
    <s v="Corporate"/>
    <x v="1"/>
    <s v="Binders"/>
    <n v="113.83"/>
    <n v="7"/>
    <n v="15.32"/>
  </r>
  <r>
    <s v="ORD-1162"/>
    <s v="2025-01-28"/>
    <x v="2"/>
    <s v="Corporate"/>
    <x v="1"/>
    <s v="Storage"/>
    <n v="58.62"/>
    <n v="1"/>
    <n v="7.84"/>
  </r>
  <r>
    <s v="ORD-1163"/>
    <s v="2025-01-28"/>
    <x v="1"/>
    <s v="Home Office"/>
    <x v="0"/>
    <s v="Tables"/>
    <n v="224.33"/>
    <n v="9"/>
    <n v="-1.38"/>
  </r>
  <r>
    <s v="ORD-1164"/>
    <s v="2025-01-28"/>
    <x v="0"/>
    <s v="Corporate"/>
    <x v="2"/>
    <s v="Accessories"/>
    <n v="397.38"/>
    <n v="7"/>
    <n v="64.22"/>
  </r>
  <r>
    <s v="ORD-1165"/>
    <s v="2025-01-28"/>
    <x v="0"/>
    <s v="Corporate"/>
    <x v="1"/>
    <s v="Binders"/>
    <n v="102.69"/>
    <n v="9"/>
    <n v="16.760000000000002"/>
  </r>
  <r>
    <s v="ORD-1166"/>
    <s v="2025-01-28"/>
    <x v="2"/>
    <s v="Home Office"/>
    <x v="0"/>
    <s v="Tables"/>
    <n v="82.81"/>
    <n v="7"/>
    <n v="-7.3"/>
  </r>
  <r>
    <s v="ORD-1167"/>
    <s v="2025-01-28"/>
    <x v="2"/>
    <s v="Corporate"/>
    <x v="2"/>
    <s v="Phones"/>
    <n v="508.76"/>
    <n v="2"/>
    <n v="60.01"/>
  </r>
  <r>
    <s v="ORD-1168"/>
    <s v="2025-01-29"/>
    <x v="2"/>
    <s v="Consumer"/>
    <x v="2"/>
    <s v="Accessories"/>
    <n v="108.28"/>
    <n v="6"/>
    <n v="30.72"/>
  </r>
  <r>
    <s v="ORD-1169"/>
    <s v="2025-01-29"/>
    <x v="1"/>
    <s v="Corporate"/>
    <x v="0"/>
    <s v="Bookcases"/>
    <n v="120.72"/>
    <n v="4"/>
    <n v="-9.2100000000000009"/>
  </r>
  <r>
    <s v="ORD-1170"/>
    <s v="2025-01-29"/>
    <x v="2"/>
    <s v="Consumer"/>
    <x v="1"/>
    <s v="Paper"/>
    <n v="85"/>
    <n v="3"/>
    <n v="11.42"/>
  </r>
  <r>
    <s v="ORD-1171"/>
    <s v="2025-01-29"/>
    <x v="0"/>
    <s v="Consumer"/>
    <x v="2"/>
    <s v="Accessories"/>
    <n v="380.44"/>
    <n v="2"/>
    <n v="49.07"/>
  </r>
  <r>
    <s v="ORD-1172"/>
    <s v="2025-01-29"/>
    <x v="0"/>
    <s v="Corporate"/>
    <x v="0"/>
    <s v="Tables"/>
    <n v="146.22999999999999"/>
    <n v="6"/>
    <n v="15.96"/>
  </r>
  <r>
    <s v="ORD-1173"/>
    <s v="2025-01-29"/>
    <x v="3"/>
    <s v="Home Office"/>
    <x v="2"/>
    <s v="Laptops"/>
    <n v="235.43"/>
    <n v="8"/>
    <n v="79.5"/>
  </r>
  <r>
    <s v="ORD-1174"/>
    <s v="2025-01-30"/>
    <x v="1"/>
    <s v="Home Office"/>
    <x v="1"/>
    <s v="Paper"/>
    <n v="270.54000000000002"/>
    <n v="6"/>
    <n v="66.67"/>
  </r>
  <r>
    <s v="ORD-1175"/>
    <s v="2025-01-30"/>
    <x v="3"/>
    <s v="Consumer"/>
    <x v="2"/>
    <s v="Accessories"/>
    <n v="82.75"/>
    <n v="9"/>
    <n v="18.16"/>
  </r>
  <r>
    <s v="ORD-1176"/>
    <s v="2025-01-30"/>
    <x v="0"/>
    <s v="Corporate"/>
    <x v="1"/>
    <s v="Storage"/>
    <n v="105.29"/>
    <n v="5"/>
    <n v="-2.41"/>
  </r>
  <r>
    <s v="ORD-1177"/>
    <s v="2025-01-30"/>
    <x v="3"/>
    <s v="Consumer"/>
    <x v="0"/>
    <s v="Bookcases"/>
    <n v="303.05"/>
    <n v="2"/>
    <n v="44.03"/>
  </r>
  <r>
    <s v="ORD-1178"/>
    <s v="2025-01-30"/>
    <x v="0"/>
    <s v="Home Office"/>
    <x v="1"/>
    <s v="Paper"/>
    <n v="87.71"/>
    <n v="8"/>
    <n v="12.62"/>
  </r>
  <r>
    <s v="ORD-1179"/>
    <s v="2025-01-30"/>
    <x v="3"/>
    <s v="Home Office"/>
    <x v="2"/>
    <s v="Laptops"/>
    <n v="256.93"/>
    <n v="9"/>
    <n v="44.99"/>
  </r>
  <r>
    <s v="ORD-1180"/>
    <s v="2025-01-31"/>
    <x v="2"/>
    <s v="Corporate"/>
    <x v="0"/>
    <s v="Tables"/>
    <n v="444.51"/>
    <n v="4"/>
    <n v="-3.7"/>
  </r>
  <r>
    <s v="ORD-1181"/>
    <s v="2025-01-31"/>
    <x v="3"/>
    <s v="Home Office"/>
    <x v="2"/>
    <s v="Accessories"/>
    <n v="166.41"/>
    <n v="6"/>
    <n v="61.02"/>
  </r>
  <r>
    <s v="ORD-1182"/>
    <s v="2025-01-31"/>
    <x v="2"/>
    <s v="Corporate"/>
    <x v="1"/>
    <s v="Paper"/>
    <n v="223"/>
    <n v="8"/>
    <n v="32.94"/>
  </r>
  <r>
    <s v="ORD-1183"/>
    <s v="2025-01-31"/>
    <x v="2"/>
    <s v="Corporate"/>
    <x v="1"/>
    <s v="Storage"/>
    <n v="265.29000000000002"/>
    <n v="9"/>
    <n v="73.709999999999994"/>
  </r>
  <r>
    <s v="ORD-1184"/>
    <s v="2025-01-31"/>
    <x v="1"/>
    <s v="Consumer"/>
    <x v="2"/>
    <s v="Phones"/>
    <n v="299.69"/>
    <n v="5"/>
    <n v="107.38"/>
  </r>
  <r>
    <s v="ORD-1185"/>
    <s v="2025-01-31"/>
    <x v="2"/>
    <s v="Consumer"/>
    <x v="1"/>
    <s v="Storage"/>
    <n v="95.39"/>
    <n v="6"/>
    <n v="4.04"/>
  </r>
  <r>
    <s v="ORD-1186"/>
    <s v="2025-02-01"/>
    <x v="2"/>
    <s v="Corporate"/>
    <x v="1"/>
    <s v="Binders"/>
    <n v="27.89"/>
    <n v="4"/>
    <n v="2.2999999999999998"/>
  </r>
  <r>
    <s v="ORD-1187"/>
    <s v="2025-02-01"/>
    <x v="3"/>
    <s v="Corporate"/>
    <x v="0"/>
    <s v="Bookcases"/>
    <n v="97.09"/>
    <n v="5"/>
    <n v="4.4400000000000004"/>
  </r>
  <r>
    <s v="ORD-1188"/>
    <s v="2025-02-01"/>
    <x v="0"/>
    <s v="Consumer"/>
    <x v="0"/>
    <s v="Chairs"/>
    <n v="188.02"/>
    <n v="7"/>
    <n v="-60.4"/>
  </r>
  <r>
    <s v="ORD-1189"/>
    <s v="2025-02-01"/>
    <x v="1"/>
    <s v="Home Office"/>
    <x v="2"/>
    <s v="Laptops"/>
    <n v="109.77"/>
    <n v="9"/>
    <n v="25.8"/>
  </r>
  <r>
    <s v="ORD-1190"/>
    <s v="2025-02-01"/>
    <x v="2"/>
    <s v="Consumer"/>
    <x v="2"/>
    <s v="Accessories"/>
    <n v="227.32"/>
    <n v="6"/>
    <n v="24.3"/>
  </r>
  <r>
    <s v="ORD-1191"/>
    <s v="2025-02-01"/>
    <x v="1"/>
    <s v="Corporate"/>
    <x v="1"/>
    <s v="Paper"/>
    <n v="86.24"/>
    <n v="6"/>
    <n v="8.83"/>
  </r>
  <r>
    <s v="ORD-1192"/>
    <s v="2025-02-02"/>
    <x v="3"/>
    <s v="Corporate"/>
    <x v="1"/>
    <s v="Paper"/>
    <n v="171.07"/>
    <n v="8"/>
    <n v="20.55"/>
  </r>
  <r>
    <s v="ORD-1193"/>
    <s v="2025-02-02"/>
    <x v="2"/>
    <s v="Corporate"/>
    <x v="1"/>
    <s v="Storage"/>
    <n v="50.95"/>
    <n v="4"/>
    <n v="5.82"/>
  </r>
  <r>
    <s v="ORD-1194"/>
    <s v="2025-02-02"/>
    <x v="3"/>
    <s v="Corporate"/>
    <x v="0"/>
    <s v="Bookcases"/>
    <n v="227.57"/>
    <n v="3"/>
    <n v="-23.95"/>
  </r>
  <r>
    <s v="ORD-1195"/>
    <s v="2025-02-02"/>
    <x v="1"/>
    <s v="Consumer"/>
    <x v="0"/>
    <s v="Chairs"/>
    <n v="138.35"/>
    <n v="7"/>
    <n v="-22.1"/>
  </r>
  <r>
    <s v="ORD-1196"/>
    <s v="2025-02-02"/>
    <x v="3"/>
    <s v="Consumer"/>
    <x v="1"/>
    <s v="Binders"/>
    <n v="54.24"/>
    <n v="5"/>
    <n v="20.57"/>
  </r>
  <r>
    <s v="ORD-1197"/>
    <s v="2025-02-02"/>
    <x v="1"/>
    <s v="Corporate"/>
    <x v="1"/>
    <s v="Paper"/>
    <n v="71.78"/>
    <n v="2"/>
    <n v="24.17"/>
  </r>
  <r>
    <s v="ORD-1198"/>
    <s v="2025-02-03"/>
    <x v="3"/>
    <s v="Corporate"/>
    <x v="1"/>
    <s v="Storage"/>
    <n v="227.11"/>
    <n v="2"/>
    <n v="7.67"/>
  </r>
  <r>
    <s v="ORD-1199"/>
    <s v="2025-02-03"/>
    <x v="1"/>
    <s v="Consumer"/>
    <x v="1"/>
    <s v="Binders"/>
    <n v="118.84"/>
    <n v="6"/>
    <n v="36.630000000000003"/>
  </r>
  <r>
    <s v="ORD-1200"/>
    <s v="2025-02-03"/>
    <x v="0"/>
    <s v="Corporate"/>
    <x v="1"/>
    <s v="Binders"/>
    <n v="56.51"/>
    <n v="8"/>
    <n v="6.22"/>
  </r>
  <r>
    <s v="ORD-1201"/>
    <s v="2025-02-03"/>
    <x v="3"/>
    <s v="Consumer"/>
    <x v="2"/>
    <s v="Accessories"/>
    <n v="532.91999999999996"/>
    <n v="1"/>
    <n v="140.11000000000001"/>
  </r>
  <r>
    <s v="ORD-1202"/>
    <s v="2025-02-03"/>
    <x v="3"/>
    <s v="Corporate"/>
    <x v="2"/>
    <s v="Phones"/>
    <n v="208.36"/>
    <n v="6"/>
    <n v="50.77"/>
  </r>
  <r>
    <s v="ORD-1203"/>
    <s v="2025-02-03"/>
    <x v="0"/>
    <s v="Home Office"/>
    <x v="1"/>
    <s v="Storage"/>
    <n v="492.45"/>
    <n v="2"/>
    <n v="41.38"/>
  </r>
  <r>
    <s v="ORD-1204"/>
    <s v="2025-02-04"/>
    <x v="0"/>
    <s v="Consumer"/>
    <x v="1"/>
    <s v="Storage"/>
    <n v="103.56"/>
    <n v="2"/>
    <n v="25.72"/>
  </r>
  <r>
    <s v="ORD-1205"/>
    <s v="2025-02-04"/>
    <x v="3"/>
    <s v="Consumer"/>
    <x v="2"/>
    <s v="Accessories"/>
    <n v="116.68"/>
    <n v="7"/>
    <n v="30.64"/>
  </r>
  <r>
    <s v="ORD-1206"/>
    <s v="2025-02-04"/>
    <x v="0"/>
    <s v="Corporate"/>
    <x v="2"/>
    <s v="Phones"/>
    <n v="362.35"/>
    <n v="1"/>
    <n v="73.319999999999993"/>
  </r>
  <r>
    <s v="ORD-1207"/>
    <s v="2025-02-04"/>
    <x v="2"/>
    <s v="Corporate"/>
    <x v="1"/>
    <s v="Paper"/>
    <n v="131.68"/>
    <n v="6"/>
    <n v="2.57"/>
  </r>
  <r>
    <s v="ORD-1208"/>
    <s v="2025-02-04"/>
    <x v="1"/>
    <s v="Corporate"/>
    <x v="2"/>
    <s v="Accessories"/>
    <n v="204.28"/>
    <n v="7"/>
    <n v="32.82"/>
  </r>
  <r>
    <s v="ORD-1209"/>
    <s v="2025-02-04"/>
    <x v="1"/>
    <s v="Home Office"/>
    <x v="2"/>
    <s v="Accessories"/>
    <n v="63.59"/>
    <n v="8"/>
    <n v="5.46"/>
  </r>
  <r>
    <s v="ORD-1210"/>
    <s v="2025-02-05"/>
    <x v="1"/>
    <s v="Home Office"/>
    <x v="0"/>
    <s v="Bookcases"/>
    <n v="108.79"/>
    <n v="7"/>
    <n v="-5.31"/>
  </r>
  <r>
    <s v="ORD-1211"/>
    <s v="2025-02-05"/>
    <x v="2"/>
    <s v="Home Office"/>
    <x v="1"/>
    <s v="Storage"/>
    <n v="39.76"/>
    <n v="6"/>
    <n v="1.21"/>
  </r>
  <r>
    <s v="ORD-1212"/>
    <s v="2025-02-05"/>
    <x v="0"/>
    <s v="Corporate"/>
    <x v="1"/>
    <s v="Storage"/>
    <n v="54.6"/>
    <n v="9"/>
    <n v="6.74"/>
  </r>
  <r>
    <s v="ORD-1213"/>
    <s v="2025-02-05"/>
    <x v="0"/>
    <s v="Consumer"/>
    <x v="2"/>
    <s v="Accessories"/>
    <n v="20.14"/>
    <n v="3"/>
    <n v="7.79"/>
  </r>
  <r>
    <s v="ORD-1214"/>
    <s v="2025-02-05"/>
    <x v="3"/>
    <s v="Consumer"/>
    <x v="1"/>
    <s v="Paper"/>
    <n v="26.01"/>
    <n v="6"/>
    <n v="7.02"/>
  </r>
  <r>
    <s v="ORD-1215"/>
    <s v="2025-02-05"/>
    <x v="0"/>
    <s v="Consumer"/>
    <x v="2"/>
    <s v="Phones"/>
    <n v="587.70000000000005"/>
    <n v="4"/>
    <n v="145.03"/>
  </r>
  <r>
    <s v="ORD-1216"/>
    <s v="2025-02-06"/>
    <x v="3"/>
    <s v="Corporate"/>
    <x v="0"/>
    <s v="Tables"/>
    <n v="61.63"/>
    <n v="2"/>
    <n v="-3.62"/>
  </r>
  <r>
    <s v="ORD-1217"/>
    <s v="2025-02-06"/>
    <x v="2"/>
    <s v="Consumer"/>
    <x v="1"/>
    <s v="Storage"/>
    <n v="183.29"/>
    <n v="1"/>
    <n v="61.95"/>
  </r>
  <r>
    <s v="ORD-1218"/>
    <s v="2025-02-06"/>
    <x v="1"/>
    <s v="Home Office"/>
    <x v="1"/>
    <s v="Binders"/>
    <n v="294.05"/>
    <n v="1"/>
    <n v="59.42"/>
  </r>
  <r>
    <s v="ORD-1219"/>
    <s v="2025-02-06"/>
    <x v="1"/>
    <s v="Corporate"/>
    <x v="1"/>
    <s v="Paper"/>
    <n v="140"/>
    <n v="3"/>
    <n v="16.41"/>
  </r>
  <r>
    <s v="ORD-1220"/>
    <s v="2025-02-06"/>
    <x v="1"/>
    <s v="Corporate"/>
    <x v="1"/>
    <s v="Storage"/>
    <n v="44.93"/>
    <n v="4"/>
    <n v="0.33"/>
  </r>
  <r>
    <s v="ORD-1221"/>
    <s v="2025-02-06"/>
    <x v="0"/>
    <s v="Consumer"/>
    <x v="0"/>
    <s v="Tables"/>
    <n v="215.36"/>
    <n v="2"/>
    <n v="-2.29"/>
  </r>
  <r>
    <s v="ORD-1222"/>
    <s v="2025-02-07"/>
    <x v="3"/>
    <s v="Consumer"/>
    <x v="2"/>
    <s v="Phones"/>
    <n v="157.54"/>
    <n v="1"/>
    <n v="52.45"/>
  </r>
  <r>
    <s v="ORD-1223"/>
    <s v="2025-02-07"/>
    <x v="3"/>
    <s v="Consumer"/>
    <x v="0"/>
    <s v="Chairs"/>
    <n v="217.1"/>
    <n v="4"/>
    <n v="-24.57"/>
  </r>
  <r>
    <s v="ORD-1224"/>
    <s v="2025-02-07"/>
    <x v="2"/>
    <s v="Consumer"/>
    <x v="2"/>
    <s v="Accessories"/>
    <n v="240.29"/>
    <n v="7"/>
    <n v="67.069999999999993"/>
  </r>
  <r>
    <s v="ORD-1225"/>
    <s v="2025-02-07"/>
    <x v="0"/>
    <s v="Consumer"/>
    <x v="2"/>
    <s v="Laptops"/>
    <n v="575.80999999999995"/>
    <n v="6"/>
    <n v="123.02"/>
  </r>
  <r>
    <s v="ORD-1226"/>
    <s v="2025-02-07"/>
    <x v="2"/>
    <s v="Corporate"/>
    <x v="1"/>
    <s v="Storage"/>
    <n v="147.84"/>
    <n v="6"/>
    <n v="19.46"/>
  </r>
  <r>
    <s v="ORD-1227"/>
    <s v="2025-02-07"/>
    <x v="3"/>
    <s v="Home Office"/>
    <x v="0"/>
    <s v="Chairs"/>
    <n v="82.7"/>
    <n v="9"/>
    <n v="-24.71"/>
  </r>
  <r>
    <s v="ORD-1228"/>
    <s v="2025-02-08"/>
    <x v="3"/>
    <s v="Home Office"/>
    <x v="1"/>
    <s v="Storage"/>
    <n v="176.82"/>
    <n v="2"/>
    <n v="22.6"/>
  </r>
  <r>
    <s v="ORD-1229"/>
    <s v="2025-02-08"/>
    <x v="1"/>
    <s v="Corporate"/>
    <x v="1"/>
    <s v="Binders"/>
    <n v="30.63"/>
    <n v="4"/>
    <n v="7.56"/>
  </r>
  <r>
    <s v="ORD-1230"/>
    <s v="2025-02-08"/>
    <x v="0"/>
    <s v="Consumer"/>
    <x v="1"/>
    <s v="Binders"/>
    <n v="361.53"/>
    <n v="5"/>
    <n v="31.4"/>
  </r>
  <r>
    <s v="ORD-1231"/>
    <s v="2025-02-08"/>
    <x v="3"/>
    <s v="Home Office"/>
    <x v="0"/>
    <s v="Tables"/>
    <n v="39.07"/>
    <n v="1"/>
    <n v="-1.75"/>
  </r>
  <r>
    <s v="ORD-1232"/>
    <s v="2025-02-08"/>
    <x v="1"/>
    <s v="Home Office"/>
    <x v="0"/>
    <s v="Bookcases"/>
    <n v="79.59"/>
    <n v="8"/>
    <n v="-10"/>
  </r>
  <r>
    <s v="ORD-1233"/>
    <s v="2025-02-08"/>
    <x v="0"/>
    <s v="Consumer"/>
    <x v="0"/>
    <s v="Tables"/>
    <n v="273.72000000000003"/>
    <n v="8"/>
    <n v="-3.82"/>
  </r>
  <r>
    <s v="ORD-1234"/>
    <s v="2025-02-09"/>
    <x v="2"/>
    <s v="Corporate"/>
    <x v="2"/>
    <s v="Accessories"/>
    <n v="156.44"/>
    <n v="6"/>
    <n v="35.72"/>
  </r>
  <r>
    <s v="ORD-1235"/>
    <s v="2025-02-09"/>
    <x v="0"/>
    <s v="Consumer"/>
    <x v="1"/>
    <s v="Binders"/>
    <n v="95.04"/>
    <n v="5"/>
    <n v="5.33"/>
  </r>
  <r>
    <s v="ORD-1236"/>
    <s v="2025-02-09"/>
    <x v="0"/>
    <s v="Home Office"/>
    <x v="2"/>
    <s v="Accessories"/>
    <n v="116.21"/>
    <n v="8"/>
    <n v="44.54"/>
  </r>
  <r>
    <s v="ORD-1237"/>
    <s v="2025-02-09"/>
    <x v="3"/>
    <s v="Home Office"/>
    <x v="2"/>
    <s v="Laptops"/>
    <n v="309.19"/>
    <n v="3"/>
    <n v="106.02"/>
  </r>
  <r>
    <s v="ORD-1238"/>
    <s v="2025-02-09"/>
    <x v="3"/>
    <s v="Consumer"/>
    <x v="1"/>
    <s v="Paper"/>
    <n v="82.33"/>
    <n v="3"/>
    <n v="7.37"/>
  </r>
  <r>
    <s v="ORD-1239"/>
    <s v="2025-02-09"/>
    <x v="0"/>
    <s v="Home Office"/>
    <x v="2"/>
    <s v="Laptops"/>
    <n v="325.63"/>
    <n v="2"/>
    <n v="97.62"/>
  </r>
  <r>
    <s v="ORD-1240"/>
    <s v="2025-02-10"/>
    <x v="3"/>
    <s v="Corporate"/>
    <x v="1"/>
    <s v="Binders"/>
    <n v="33.840000000000003"/>
    <n v="5"/>
    <n v="6.89"/>
  </r>
  <r>
    <s v="ORD-1241"/>
    <s v="2025-02-10"/>
    <x v="3"/>
    <s v="Home Office"/>
    <x v="1"/>
    <s v="Paper"/>
    <n v="244.95"/>
    <n v="3"/>
    <n v="52.48"/>
  </r>
  <r>
    <s v="ORD-1242"/>
    <s v="2025-02-10"/>
    <x v="3"/>
    <s v="Consumer"/>
    <x v="1"/>
    <s v="Storage"/>
    <n v="302.14"/>
    <n v="3"/>
    <n v="-5.87"/>
  </r>
  <r>
    <s v="ORD-1243"/>
    <s v="2025-02-10"/>
    <x v="1"/>
    <s v="Home Office"/>
    <x v="0"/>
    <s v="Tables"/>
    <n v="50.1"/>
    <n v="6"/>
    <n v="2.54"/>
  </r>
  <r>
    <s v="ORD-1244"/>
    <s v="2025-02-10"/>
    <x v="1"/>
    <s v="Consumer"/>
    <x v="2"/>
    <s v="Laptops"/>
    <n v="104.41"/>
    <n v="8"/>
    <n v="20.149999999999999"/>
  </r>
  <r>
    <s v="ORD-1245"/>
    <s v="2025-02-10"/>
    <x v="0"/>
    <s v="Consumer"/>
    <x v="1"/>
    <s v="Storage"/>
    <n v="47.14"/>
    <n v="2"/>
    <n v="5.38"/>
  </r>
  <r>
    <s v="ORD-1246"/>
    <s v="2025-02-11"/>
    <x v="3"/>
    <s v="Consumer"/>
    <x v="0"/>
    <s v="Tables"/>
    <n v="203.93"/>
    <n v="4"/>
    <n v="43.6"/>
  </r>
  <r>
    <s v="ORD-1247"/>
    <s v="2025-02-11"/>
    <x v="1"/>
    <s v="Home Office"/>
    <x v="1"/>
    <s v="Paper"/>
    <n v="134.97"/>
    <n v="7"/>
    <n v="24.32"/>
  </r>
  <r>
    <s v="ORD-1248"/>
    <s v="2025-02-11"/>
    <x v="0"/>
    <s v="Home Office"/>
    <x v="1"/>
    <s v="Paper"/>
    <n v="171.31"/>
    <n v="1"/>
    <n v="19.079999999999998"/>
  </r>
  <r>
    <s v="ORD-1249"/>
    <s v="2025-02-11"/>
    <x v="3"/>
    <s v="Home Office"/>
    <x v="1"/>
    <s v="Storage"/>
    <n v="52.81"/>
    <n v="1"/>
    <n v="-3.72"/>
  </r>
  <r>
    <s v="ORD-1250"/>
    <s v="2025-02-11"/>
    <x v="2"/>
    <s v="Home Office"/>
    <x v="2"/>
    <s v="Laptops"/>
    <n v="55.69"/>
    <n v="7"/>
    <n v="21.66"/>
  </r>
  <r>
    <s v="ORD-1251"/>
    <s v="2025-02-11"/>
    <x v="3"/>
    <s v="Consumer"/>
    <x v="0"/>
    <s v="Tables"/>
    <n v="26.36"/>
    <n v="7"/>
    <n v="-4.8600000000000003"/>
  </r>
  <r>
    <s v="ORD-1252"/>
    <s v="2025-02-12"/>
    <x v="3"/>
    <s v="Consumer"/>
    <x v="1"/>
    <s v="Paper"/>
    <n v="78.31"/>
    <n v="1"/>
    <n v="3.89"/>
  </r>
  <r>
    <s v="ORD-1253"/>
    <s v="2025-02-12"/>
    <x v="1"/>
    <s v="Consumer"/>
    <x v="0"/>
    <s v="Tables"/>
    <n v="143.06"/>
    <n v="1"/>
    <n v="-11.89"/>
  </r>
  <r>
    <s v="ORD-1254"/>
    <s v="2025-02-12"/>
    <x v="0"/>
    <s v="Consumer"/>
    <x v="2"/>
    <s v="Accessories"/>
    <n v="312.72000000000003"/>
    <n v="4"/>
    <n v="122.47"/>
  </r>
  <r>
    <s v="ORD-1255"/>
    <s v="2025-02-12"/>
    <x v="0"/>
    <s v="Consumer"/>
    <x v="0"/>
    <s v="Tables"/>
    <n v="184.91"/>
    <n v="5"/>
    <n v="5.05"/>
  </r>
  <r>
    <s v="ORD-1256"/>
    <s v="2025-02-12"/>
    <x v="1"/>
    <s v="Consumer"/>
    <x v="1"/>
    <s v="Binders"/>
    <n v="105.74"/>
    <n v="5"/>
    <n v="14.19"/>
  </r>
  <r>
    <s v="ORD-1257"/>
    <s v="2025-02-12"/>
    <x v="3"/>
    <s v="Consumer"/>
    <x v="1"/>
    <s v="Binders"/>
    <n v="479.02"/>
    <n v="4"/>
    <n v="86.62"/>
  </r>
  <r>
    <s v="ORD-1258"/>
    <s v="2025-02-13"/>
    <x v="2"/>
    <s v="Consumer"/>
    <x v="0"/>
    <s v="Tables"/>
    <n v="210.54"/>
    <n v="8"/>
    <n v="-23.17"/>
  </r>
  <r>
    <s v="ORD-1259"/>
    <s v="2025-02-13"/>
    <x v="3"/>
    <s v="Consumer"/>
    <x v="2"/>
    <s v="Phones"/>
    <n v="419.24"/>
    <n v="7"/>
    <n v="110.66"/>
  </r>
  <r>
    <s v="ORD-1260"/>
    <s v="2025-02-13"/>
    <x v="3"/>
    <s v="Consumer"/>
    <x v="1"/>
    <s v="Binders"/>
    <n v="132.49"/>
    <n v="9"/>
    <n v="20.85"/>
  </r>
  <r>
    <s v="ORD-1261"/>
    <s v="2025-02-13"/>
    <x v="2"/>
    <s v="Home Office"/>
    <x v="1"/>
    <s v="Storage"/>
    <n v="64.94"/>
    <n v="7"/>
    <n v="16.03"/>
  </r>
  <r>
    <s v="ORD-1262"/>
    <s v="2025-02-13"/>
    <x v="1"/>
    <s v="Corporate"/>
    <x v="2"/>
    <s v="Laptops"/>
    <n v="28.14"/>
    <n v="1"/>
    <n v="9.76"/>
  </r>
  <r>
    <s v="ORD-1263"/>
    <s v="2025-02-13"/>
    <x v="0"/>
    <s v="Home Office"/>
    <x v="0"/>
    <s v="Tables"/>
    <n v="214.24"/>
    <n v="7"/>
    <n v="-0.13"/>
  </r>
  <r>
    <s v="ORD-1264"/>
    <s v="2025-02-14"/>
    <x v="1"/>
    <s v="Consumer"/>
    <x v="1"/>
    <s v="Binders"/>
    <n v="39.4"/>
    <n v="1"/>
    <n v="4.4800000000000004"/>
  </r>
  <r>
    <s v="ORD-1265"/>
    <s v="2025-02-14"/>
    <x v="1"/>
    <s v="Consumer"/>
    <x v="1"/>
    <s v="Paper"/>
    <n v="74.099999999999994"/>
    <n v="7"/>
    <n v="16.61"/>
  </r>
  <r>
    <s v="ORD-1266"/>
    <s v="2025-02-14"/>
    <x v="3"/>
    <s v="Corporate"/>
    <x v="1"/>
    <s v="Binders"/>
    <n v="134.04"/>
    <n v="8"/>
    <n v="18.87"/>
  </r>
  <r>
    <s v="ORD-1267"/>
    <s v="2025-02-14"/>
    <x v="0"/>
    <s v="Consumer"/>
    <x v="1"/>
    <s v="Paper"/>
    <n v="144.66"/>
    <n v="9"/>
    <n v="6.05"/>
  </r>
  <r>
    <s v="ORD-1268"/>
    <s v="2025-02-14"/>
    <x v="0"/>
    <s v="Consumer"/>
    <x v="0"/>
    <s v="Tables"/>
    <n v="157.66"/>
    <n v="3"/>
    <n v="-14.24"/>
  </r>
  <r>
    <s v="ORD-1269"/>
    <s v="2025-02-14"/>
    <x v="1"/>
    <s v="Consumer"/>
    <x v="2"/>
    <s v="Accessories"/>
    <n v="47.27"/>
    <n v="4"/>
    <n v="12.22"/>
  </r>
  <r>
    <s v="ORD-1270"/>
    <s v="2025-02-15"/>
    <x v="2"/>
    <s v="Consumer"/>
    <x v="1"/>
    <s v="Paper"/>
    <n v="91.64"/>
    <n v="4"/>
    <n v="22.09"/>
  </r>
  <r>
    <s v="ORD-1271"/>
    <s v="2025-02-15"/>
    <x v="1"/>
    <s v="Consumer"/>
    <x v="1"/>
    <s v="Storage"/>
    <n v="164.03"/>
    <n v="9"/>
    <n v="21.59"/>
  </r>
  <r>
    <s v="ORD-1272"/>
    <s v="2025-02-15"/>
    <x v="2"/>
    <s v="Consumer"/>
    <x v="1"/>
    <s v="Paper"/>
    <n v="545.08000000000004"/>
    <n v="7"/>
    <n v="15.85"/>
  </r>
  <r>
    <s v="ORD-1273"/>
    <s v="2025-02-15"/>
    <x v="0"/>
    <s v="Corporate"/>
    <x v="1"/>
    <s v="Storage"/>
    <n v="215.09"/>
    <n v="3"/>
    <n v="33.479999999999997"/>
  </r>
  <r>
    <s v="ORD-1274"/>
    <s v="2025-02-15"/>
    <x v="1"/>
    <s v="Consumer"/>
    <x v="0"/>
    <s v="Chairs"/>
    <n v="403.82"/>
    <n v="5"/>
    <n v="-15.61"/>
  </r>
  <r>
    <s v="ORD-1275"/>
    <s v="2025-02-15"/>
    <x v="3"/>
    <s v="Consumer"/>
    <x v="0"/>
    <s v="Tables"/>
    <n v="235.46"/>
    <n v="7"/>
    <n v="-7.4"/>
  </r>
  <r>
    <s v="ORD-1276"/>
    <s v="2025-02-16"/>
    <x v="1"/>
    <s v="Home Office"/>
    <x v="1"/>
    <s v="Storage"/>
    <n v="154.37"/>
    <n v="8"/>
    <n v="37.36"/>
  </r>
  <r>
    <s v="ORD-1277"/>
    <s v="2025-02-16"/>
    <x v="0"/>
    <s v="Consumer"/>
    <x v="1"/>
    <s v="Binders"/>
    <n v="51.98"/>
    <n v="1"/>
    <n v="13.09"/>
  </r>
  <r>
    <s v="ORD-1278"/>
    <s v="2025-02-16"/>
    <x v="3"/>
    <s v="Consumer"/>
    <x v="1"/>
    <s v="Paper"/>
    <n v="184.8"/>
    <n v="2"/>
    <n v="16.739999999999998"/>
  </r>
  <r>
    <s v="ORD-1279"/>
    <s v="2025-02-16"/>
    <x v="3"/>
    <s v="Home Office"/>
    <x v="1"/>
    <s v="Storage"/>
    <n v="166.48"/>
    <n v="7"/>
    <n v="14.71"/>
  </r>
  <r>
    <s v="ORD-1280"/>
    <s v="2025-02-16"/>
    <x v="2"/>
    <s v="Consumer"/>
    <x v="1"/>
    <s v="Paper"/>
    <n v="158.37"/>
    <n v="2"/>
    <n v="7.28"/>
  </r>
  <r>
    <s v="ORD-1281"/>
    <s v="2025-02-16"/>
    <x v="3"/>
    <s v="Consumer"/>
    <x v="0"/>
    <s v="Tables"/>
    <n v="120.94"/>
    <n v="7"/>
    <n v="2.4"/>
  </r>
  <r>
    <s v="ORD-1282"/>
    <s v="2025-02-17"/>
    <x v="3"/>
    <s v="Consumer"/>
    <x v="0"/>
    <s v="Tables"/>
    <n v="132.83000000000001"/>
    <n v="9"/>
    <n v="12.6"/>
  </r>
  <r>
    <s v="ORD-1283"/>
    <s v="2025-02-17"/>
    <x v="1"/>
    <s v="Consumer"/>
    <x v="2"/>
    <s v="Phones"/>
    <n v="81.069999999999993"/>
    <n v="2"/>
    <n v="17.71"/>
  </r>
  <r>
    <s v="ORD-1284"/>
    <s v="2025-02-17"/>
    <x v="0"/>
    <s v="Corporate"/>
    <x v="0"/>
    <s v="Bookcases"/>
    <n v="129.88"/>
    <n v="7"/>
    <n v="-9.6300000000000008"/>
  </r>
  <r>
    <s v="ORD-1285"/>
    <s v="2025-02-17"/>
    <x v="2"/>
    <s v="Home Office"/>
    <x v="2"/>
    <s v="Laptops"/>
    <n v="53.01"/>
    <n v="4"/>
    <n v="21.03"/>
  </r>
  <r>
    <s v="ORD-1286"/>
    <s v="2025-02-17"/>
    <x v="1"/>
    <s v="Consumer"/>
    <x v="0"/>
    <s v="Chairs"/>
    <n v="265.35000000000002"/>
    <n v="2"/>
    <n v="0.15"/>
  </r>
  <r>
    <s v="ORD-1287"/>
    <s v="2025-02-17"/>
    <x v="3"/>
    <s v="Corporate"/>
    <x v="0"/>
    <s v="Tables"/>
    <n v="50.83"/>
    <n v="7"/>
    <n v="-0.32"/>
  </r>
  <r>
    <s v="ORD-1288"/>
    <s v="2025-02-18"/>
    <x v="3"/>
    <s v="Corporate"/>
    <x v="2"/>
    <s v="Phones"/>
    <n v="33.32"/>
    <n v="5"/>
    <n v="4.3600000000000003"/>
  </r>
  <r>
    <s v="ORD-1289"/>
    <s v="2025-02-18"/>
    <x v="2"/>
    <s v="Consumer"/>
    <x v="0"/>
    <s v="Chairs"/>
    <n v="105.97"/>
    <n v="1"/>
    <n v="1.89"/>
  </r>
  <r>
    <s v="ORD-1290"/>
    <s v="2025-02-18"/>
    <x v="0"/>
    <s v="Corporate"/>
    <x v="2"/>
    <s v="Phones"/>
    <n v="181.08"/>
    <n v="5"/>
    <n v="28.45"/>
  </r>
  <r>
    <s v="ORD-1291"/>
    <s v="2025-02-18"/>
    <x v="2"/>
    <s v="Consumer"/>
    <x v="2"/>
    <s v="Accessories"/>
    <n v="106.36"/>
    <n v="3"/>
    <n v="14.53"/>
  </r>
  <r>
    <s v="ORD-1292"/>
    <s v="2025-02-18"/>
    <x v="1"/>
    <s v="Consumer"/>
    <x v="1"/>
    <s v="Storage"/>
    <n v="68.599999999999994"/>
    <n v="7"/>
    <n v="7.91"/>
  </r>
  <r>
    <s v="ORD-1293"/>
    <s v="2025-02-18"/>
    <x v="2"/>
    <s v="Consumer"/>
    <x v="0"/>
    <s v="Tables"/>
    <n v="142.52000000000001"/>
    <n v="6"/>
    <n v="-15.47"/>
  </r>
  <r>
    <s v="ORD-1294"/>
    <s v="2025-02-19"/>
    <x v="3"/>
    <s v="Consumer"/>
    <x v="2"/>
    <s v="Phones"/>
    <n v="83.93"/>
    <n v="8"/>
    <n v="19.12"/>
  </r>
  <r>
    <s v="ORD-1295"/>
    <s v="2025-02-19"/>
    <x v="1"/>
    <s v="Consumer"/>
    <x v="0"/>
    <s v="Bookcases"/>
    <n v="425.16"/>
    <n v="5"/>
    <n v="-82.52"/>
  </r>
  <r>
    <s v="ORD-1296"/>
    <s v="2025-02-19"/>
    <x v="3"/>
    <s v="Home Office"/>
    <x v="1"/>
    <s v="Storage"/>
    <n v="403.9"/>
    <n v="2"/>
    <n v="99.31"/>
  </r>
  <r>
    <s v="ORD-1297"/>
    <s v="2025-02-19"/>
    <x v="0"/>
    <s v="Consumer"/>
    <x v="2"/>
    <s v="Phones"/>
    <n v="124.69"/>
    <n v="9"/>
    <n v="45.23"/>
  </r>
  <r>
    <s v="ORD-1298"/>
    <s v="2025-02-19"/>
    <x v="3"/>
    <s v="Consumer"/>
    <x v="1"/>
    <s v="Binders"/>
    <n v="79.599999999999994"/>
    <n v="8"/>
    <n v="-3.56"/>
  </r>
  <r>
    <s v="ORD-1299"/>
    <s v="2025-02-19"/>
    <x v="3"/>
    <s v="Consumer"/>
    <x v="2"/>
    <s v="Accessories"/>
    <n v="220.42"/>
    <n v="6"/>
    <n v="76.67"/>
  </r>
  <r>
    <s v="ORD-1300"/>
    <s v="2025-02-20"/>
    <x v="2"/>
    <s v="Corporate"/>
    <x v="2"/>
    <s v="Accessories"/>
    <n v="25.61"/>
    <n v="7"/>
    <n v="4.33"/>
  </r>
  <r>
    <s v="ORD-1301"/>
    <s v="2025-02-20"/>
    <x v="3"/>
    <s v="Corporate"/>
    <x v="0"/>
    <s v="Chairs"/>
    <n v="116.59"/>
    <n v="9"/>
    <n v="4.16"/>
  </r>
  <r>
    <s v="ORD-1302"/>
    <s v="2025-02-20"/>
    <x v="1"/>
    <s v="Corporate"/>
    <x v="0"/>
    <s v="Bookcases"/>
    <n v="81.489999999999995"/>
    <n v="7"/>
    <n v="-4.63"/>
  </r>
  <r>
    <s v="ORD-1303"/>
    <s v="2025-02-20"/>
    <x v="1"/>
    <s v="Corporate"/>
    <x v="1"/>
    <s v="Paper"/>
    <n v="399.87"/>
    <n v="3"/>
    <n v="61.13"/>
  </r>
  <r>
    <s v="ORD-1304"/>
    <s v="2025-02-20"/>
    <x v="0"/>
    <s v="Home Office"/>
    <x v="1"/>
    <s v="Storage"/>
    <n v="21.81"/>
    <n v="6"/>
    <n v="2.87"/>
  </r>
  <r>
    <s v="ORD-1305"/>
    <s v="2025-02-20"/>
    <x v="1"/>
    <s v="Consumer"/>
    <x v="1"/>
    <s v="Binders"/>
    <n v="140.72"/>
    <n v="7"/>
    <n v="38.17"/>
  </r>
  <r>
    <s v="ORD-1306"/>
    <s v="2025-02-21"/>
    <x v="2"/>
    <s v="Corporate"/>
    <x v="0"/>
    <s v="Tables"/>
    <n v="222.44"/>
    <n v="2"/>
    <n v="-38.700000000000003"/>
  </r>
  <r>
    <s v="ORD-1307"/>
    <s v="2025-02-21"/>
    <x v="0"/>
    <s v="Home Office"/>
    <x v="0"/>
    <s v="Tables"/>
    <n v="119.54"/>
    <n v="3"/>
    <n v="1.29"/>
  </r>
  <r>
    <s v="ORD-1308"/>
    <s v="2025-02-21"/>
    <x v="1"/>
    <s v="Home Office"/>
    <x v="1"/>
    <s v="Binders"/>
    <n v="33.39"/>
    <n v="4"/>
    <n v="8.69"/>
  </r>
  <r>
    <s v="ORD-1309"/>
    <s v="2025-02-21"/>
    <x v="2"/>
    <s v="Home Office"/>
    <x v="2"/>
    <s v="Laptops"/>
    <n v="558.82000000000005"/>
    <n v="6"/>
    <n v="179.74"/>
  </r>
  <r>
    <s v="ORD-1310"/>
    <s v="2025-02-21"/>
    <x v="1"/>
    <s v="Consumer"/>
    <x v="0"/>
    <s v="Bookcases"/>
    <n v="129.47"/>
    <n v="1"/>
    <n v="23.62"/>
  </r>
  <r>
    <s v="ORD-1311"/>
    <s v="2025-02-21"/>
    <x v="1"/>
    <s v="Consumer"/>
    <x v="2"/>
    <s v="Laptops"/>
    <n v="162.86000000000001"/>
    <n v="9"/>
    <n v="32.1"/>
  </r>
  <r>
    <s v="ORD-1312"/>
    <s v="2025-02-22"/>
    <x v="3"/>
    <s v="Consumer"/>
    <x v="2"/>
    <s v="Phones"/>
    <n v="60.5"/>
    <n v="5"/>
    <n v="20.92"/>
  </r>
  <r>
    <s v="ORD-1313"/>
    <s v="2025-02-22"/>
    <x v="1"/>
    <s v="Corporate"/>
    <x v="1"/>
    <s v="Binders"/>
    <n v="119.1"/>
    <n v="7"/>
    <n v="16.600000000000001"/>
  </r>
  <r>
    <s v="ORD-1314"/>
    <s v="2025-02-22"/>
    <x v="1"/>
    <s v="Consumer"/>
    <x v="1"/>
    <s v="Paper"/>
    <n v="104.09"/>
    <n v="9"/>
    <n v="28.45"/>
  </r>
  <r>
    <s v="ORD-1315"/>
    <s v="2025-02-22"/>
    <x v="2"/>
    <s v="Consumer"/>
    <x v="1"/>
    <s v="Paper"/>
    <n v="31.68"/>
    <n v="9"/>
    <n v="4.7300000000000004"/>
  </r>
  <r>
    <s v="ORD-1316"/>
    <s v="2025-02-22"/>
    <x v="2"/>
    <s v="Home Office"/>
    <x v="0"/>
    <s v="Chairs"/>
    <n v="36.83"/>
    <n v="1"/>
    <n v="-3.27"/>
  </r>
  <r>
    <s v="ORD-1317"/>
    <s v="2025-02-22"/>
    <x v="3"/>
    <s v="Consumer"/>
    <x v="2"/>
    <s v="Accessories"/>
    <n v="292.54000000000002"/>
    <n v="1"/>
    <n v="111.34"/>
  </r>
  <r>
    <s v="ORD-1318"/>
    <s v="2025-02-23"/>
    <x v="1"/>
    <s v="Home Office"/>
    <x v="2"/>
    <s v="Accessories"/>
    <n v="61.13"/>
    <n v="3"/>
    <n v="12.28"/>
  </r>
  <r>
    <s v="ORD-1319"/>
    <s v="2025-02-23"/>
    <x v="3"/>
    <s v="Consumer"/>
    <x v="2"/>
    <s v="Laptops"/>
    <n v="52.53"/>
    <n v="6"/>
    <n v="5.71"/>
  </r>
  <r>
    <s v="ORD-1320"/>
    <s v="2025-02-23"/>
    <x v="1"/>
    <s v="Consumer"/>
    <x v="0"/>
    <s v="Tables"/>
    <n v="125.45"/>
    <n v="2"/>
    <n v="-12.76"/>
  </r>
  <r>
    <s v="ORD-1321"/>
    <s v="2025-02-23"/>
    <x v="0"/>
    <s v="Consumer"/>
    <x v="1"/>
    <s v="Storage"/>
    <n v="239.64"/>
    <n v="1"/>
    <n v="50.78"/>
  </r>
  <r>
    <s v="ORD-1322"/>
    <s v="2025-02-23"/>
    <x v="0"/>
    <s v="Corporate"/>
    <x v="1"/>
    <s v="Binders"/>
    <n v="29.59"/>
    <n v="1"/>
    <n v="8.56"/>
  </r>
  <r>
    <s v="ORD-1323"/>
    <s v="2025-02-23"/>
    <x v="3"/>
    <s v="Consumer"/>
    <x v="2"/>
    <s v="Laptops"/>
    <n v="148.99"/>
    <n v="5"/>
    <n v="38.9"/>
  </r>
  <r>
    <s v="ORD-1324"/>
    <s v="2025-02-24"/>
    <x v="3"/>
    <s v="Consumer"/>
    <x v="1"/>
    <s v="Storage"/>
    <n v="39.04"/>
    <n v="4"/>
    <n v="11"/>
  </r>
  <r>
    <s v="ORD-1325"/>
    <s v="2025-02-24"/>
    <x v="3"/>
    <s v="Home Office"/>
    <x v="1"/>
    <s v="Binders"/>
    <n v="25.57"/>
    <n v="1"/>
    <n v="0.36"/>
  </r>
  <r>
    <s v="ORD-1326"/>
    <s v="2025-02-24"/>
    <x v="2"/>
    <s v="Consumer"/>
    <x v="0"/>
    <s v="Bookcases"/>
    <n v="28.13"/>
    <n v="4"/>
    <n v="-2.65"/>
  </r>
  <r>
    <s v="ORD-1327"/>
    <s v="2025-02-24"/>
    <x v="2"/>
    <s v="Corporate"/>
    <x v="1"/>
    <s v="Storage"/>
    <n v="289.51"/>
    <n v="3"/>
    <n v="35.07"/>
  </r>
  <r>
    <s v="ORD-1328"/>
    <s v="2025-02-24"/>
    <x v="2"/>
    <s v="Corporate"/>
    <x v="0"/>
    <s v="Bookcases"/>
    <n v="38.83"/>
    <n v="2"/>
    <n v="-2.39"/>
  </r>
  <r>
    <s v="ORD-1329"/>
    <s v="2025-02-24"/>
    <x v="3"/>
    <s v="Consumer"/>
    <x v="2"/>
    <s v="Phones"/>
    <n v="26.93"/>
    <n v="9"/>
    <n v="6.96"/>
  </r>
  <r>
    <s v="ORD-1330"/>
    <s v="2025-02-25"/>
    <x v="1"/>
    <s v="Corporate"/>
    <x v="0"/>
    <s v="Chairs"/>
    <n v="106.41"/>
    <n v="1"/>
    <n v="2.0299999999999998"/>
  </r>
  <r>
    <s v="ORD-1331"/>
    <s v="2025-02-25"/>
    <x v="0"/>
    <s v="Consumer"/>
    <x v="1"/>
    <s v="Paper"/>
    <n v="298.68"/>
    <n v="7"/>
    <n v="31.52"/>
  </r>
  <r>
    <s v="ORD-1332"/>
    <s v="2025-02-25"/>
    <x v="3"/>
    <s v="Corporate"/>
    <x v="2"/>
    <s v="Accessories"/>
    <n v="65.650000000000006"/>
    <n v="4"/>
    <n v="17.329999999999998"/>
  </r>
  <r>
    <s v="ORD-1333"/>
    <s v="2025-02-25"/>
    <x v="2"/>
    <s v="Consumer"/>
    <x v="2"/>
    <s v="Laptops"/>
    <n v="102.15"/>
    <n v="5"/>
    <n v="25.08"/>
  </r>
  <r>
    <s v="ORD-1334"/>
    <s v="2025-02-25"/>
    <x v="2"/>
    <s v="Corporate"/>
    <x v="2"/>
    <s v="Laptops"/>
    <n v="26.11"/>
    <n v="5"/>
    <n v="4.1100000000000003"/>
  </r>
  <r>
    <s v="ORD-1335"/>
    <s v="2025-02-25"/>
    <x v="3"/>
    <s v="Consumer"/>
    <x v="2"/>
    <s v="Phones"/>
    <n v="109.42"/>
    <n v="1"/>
    <n v="26.11"/>
  </r>
  <r>
    <s v="ORD-1336"/>
    <s v="2025-02-26"/>
    <x v="3"/>
    <s v="Corporate"/>
    <x v="1"/>
    <s v="Binders"/>
    <n v="149.28"/>
    <n v="6"/>
    <n v="20.25"/>
  </r>
  <r>
    <s v="ORD-1337"/>
    <s v="2025-02-26"/>
    <x v="2"/>
    <s v="Consumer"/>
    <x v="1"/>
    <s v="Storage"/>
    <n v="146.91"/>
    <n v="9"/>
    <n v="19.61"/>
  </r>
  <r>
    <s v="ORD-1338"/>
    <s v="2025-02-26"/>
    <x v="1"/>
    <s v="Consumer"/>
    <x v="0"/>
    <s v="Chairs"/>
    <n v="80.62"/>
    <n v="2"/>
    <n v="-3.77"/>
  </r>
  <r>
    <s v="ORD-1339"/>
    <s v="2025-02-26"/>
    <x v="2"/>
    <s v="Consumer"/>
    <x v="2"/>
    <s v="Laptops"/>
    <n v="76.87"/>
    <n v="7"/>
    <n v="19.8"/>
  </r>
  <r>
    <s v="ORD-1340"/>
    <s v="2025-02-26"/>
    <x v="2"/>
    <s v="Consumer"/>
    <x v="0"/>
    <s v="Chairs"/>
    <n v="36.909999999999997"/>
    <n v="6"/>
    <n v="-3.44"/>
  </r>
  <r>
    <s v="ORD-1341"/>
    <s v="2025-02-26"/>
    <x v="3"/>
    <s v="Home Office"/>
    <x v="0"/>
    <s v="Tables"/>
    <n v="88.54"/>
    <n v="5"/>
    <n v="6.84"/>
  </r>
  <r>
    <s v="ORD-1342"/>
    <s v="2025-02-27"/>
    <x v="1"/>
    <s v="Consumer"/>
    <x v="2"/>
    <s v="Laptops"/>
    <n v="35.72"/>
    <n v="4"/>
    <n v="4.75"/>
  </r>
  <r>
    <s v="ORD-1343"/>
    <s v="2025-02-27"/>
    <x v="2"/>
    <s v="Home Office"/>
    <x v="0"/>
    <s v="Tables"/>
    <n v="238.25"/>
    <n v="4"/>
    <n v="-29.09"/>
  </r>
  <r>
    <s v="ORD-1344"/>
    <s v="2025-02-27"/>
    <x v="2"/>
    <s v="Home Office"/>
    <x v="0"/>
    <s v="Bookcases"/>
    <n v="528.41999999999996"/>
    <n v="6"/>
    <n v="120.48"/>
  </r>
  <r>
    <s v="ORD-1345"/>
    <s v="2025-02-27"/>
    <x v="0"/>
    <s v="Corporate"/>
    <x v="1"/>
    <s v="Storage"/>
    <n v="546.36"/>
    <n v="4"/>
    <n v="25.24"/>
  </r>
  <r>
    <s v="ORD-1346"/>
    <s v="2025-02-27"/>
    <x v="3"/>
    <s v="Consumer"/>
    <x v="1"/>
    <s v="Binders"/>
    <n v="320.45"/>
    <n v="5"/>
    <n v="4.6900000000000004"/>
  </r>
  <r>
    <s v="ORD-1347"/>
    <s v="2025-02-27"/>
    <x v="0"/>
    <s v="Consumer"/>
    <x v="2"/>
    <s v="Accessories"/>
    <n v="157.74"/>
    <n v="6"/>
    <n v="51.02"/>
  </r>
  <r>
    <s v="ORD-1348"/>
    <s v="2025-02-28"/>
    <x v="0"/>
    <s v="Corporate"/>
    <x v="0"/>
    <s v="Chairs"/>
    <n v="201.03"/>
    <n v="5"/>
    <n v="-51.81"/>
  </r>
  <r>
    <s v="ORD-1349"/>
    <s v="2025-02-28"/>
    <x v="2"/>
    <s v="Consumer"/>
    <x v="1"/>
    <s v="Binders"/>
    <n v="70.36"/>
    <n v="7"/>
    <n v="8.9"/>
  </r>
  <r>
    <s v="ORD-1350"/>
    <s v="2025-02-28"/>
    <x v="3"/>
    <s v="Consumer"/>
    <x v="0"/>
    <s v="Bookcases"/>
    <n v="169.45"/>
    <n v="9"/>
    <n v="27.89"/>
  </r>
  <r>
    <s v="ORD-1351"/>
    <s v="2025-02-28"/>
    <x v="1"/>
    <s v="Corporate"/>
    <x v="1"/>
    <s v="Binders"/>
    <n v="111.22"/>
    <n v="7"/>
    <n v="-0.5"/>
  </r>
  <r>
    <s v="ORD-1352"/>
    <s v="2025-02-28"/>
    <x v="2"/>
    <s v="Home Office"/>
    <x v="1"/>
    <s v="Paper"/>
    <n v="118.67"/>
    <n v="7"/>
    <n v="-5.72"/>
  </r>
  <r>
    <s v="ORD-1353"/>
    <s v="2025-02-28"/>
    <x v="1"/>
    <s v="Corporate"/>
    <x v="2"/>
    <s v="Accessories"/>
    <n v="232.68"/>
    <n v="4"/>
    <n v="23.29"/>
  </r>
  <r>
    <s v="ORD-1354"/>
    <s v="2025-03-01"/>
    <x v="1"/>
    <s v="Consumer"/>
    <x v="2"/>
    <s v="Laptops"/>
    <n v="69.680000000000007"/>
    <n v="1"/>
    <n v="23.68"/>
  </r>
  <r>
    <s v="ORD-1355"/>
    <s v="2025-03-01"/>
    <x v="3"/>
    <s v="Corporate"/>
    <x v="1"/>
    <s v="Storage"/>
    <n v="77.42"/>
    <n v="8"/>
    <n v="20.32"/>
  </r>
  <r>
    <s v="ORD-1356"/>
    <s v="2025-03-01"/>
    <x v="0"/>
    <s v="Consumer"/>
    <x v="2"/>
    <s v="Phones"/>
    <n v="407.83"/>
    <n v="4"/>
    <n v="81.05"/>
  </r>
  <r>
    <s v="ORD-1357"/>
    <s v="2025-03-01"/>
    <x v="3"/>
    <s v="Consumer"/>
    <x v="0"/>
    <s v="Tables"/>
    <n v="28.68"/>
    <n v="1"/>
    <n v="0.53"/>
  </r>
  <r>
    <s v="ORD-1358"/>
    <s v="2025-03-01"/>
    <x v="1"/>
    <s v="Home Office"/>
    <x v="1"/>
    <s v="Storage"/>
    <n v="119.72"/>
    <n v="5"/>
    <n v="34.6"/>
  </r>
  <r>
    <s v="ORD-1359"/>
    <s v="2025-03-01"/>
    <x v="2"/>
    <s v="Consumer"/>
    <x v="0"/>
    <s v="Tables"/>
    <n v="385.93"/>
    <n v="8"/>
    <n v="49.68"/>
  </r>
  <r>
    <s v="ORD-1360"/>
    <s v="2025-03-02"/>
    <x v="1"/>
    <s v="Consumer"/>
    <x v="0"/>
    <s v="Bookcases"/>
    <n v="161.38"/>
    <n v="4"/>
    <n v="-12.04"/>
  </r>
  <r>
    <s v="ORD-1361"/>
    <s v="2025-03-02"/>
    <x v="2"/>
    <s v="Consumer"/>
    <x v="1"/>
    <s v="Paper"/>
    <n v="138.58000000000001"/>
    <n v="8"/>
    <n v="-11.11"/>
  </r>
  <r>
    <s v="ORD-1362"/>
    <s v="2025-03-02"/>
    <x v="2"/>
    <s v="Home Office"/>
    <x v="0"/>
    <s v="Tables"/>
    <n v="63.1"/>
    <n v="8"/>
    <n v="-8.33"/>
  </r>
  <r>
    <s v="ORD-1363"/>
    <s v="2025-03-02"/>
    <x v="3"/>
    <s v="Corporate"/>
    <x v="0"/>
    <s v="Bookcases"/>
    <n v="83.07"/>
    <n v="3"/>
    <n v="-7.7"/>
  </r>
  <r>
    <s v="ORD-1364"/>
    <s v="2025-03-02"/>
    <x v="1"/>
    <s v="Corporate"/>
    <x v="1"/>
    <s v="Storage"/>
    <n v="306.63"/>
    <n v="9"/>
    <n v="38.049999999999997"/>
  </r>
  <r>
    <s v="ORD-1365"/>
    <s v="2025-03-02"/>
    <x v="0"/>
    <s v="Corporate"/>
    <x v="0"/>
    <s v="Tables"/>
    <n v="142.88"/>
    <n v="3"/>
    <n v="-9.83"/>
  </r>
  <r>
    <s v="ORD-1366"/>
    <s v="2025-03-03"/>
    <x v="1"/>
    <s v="Consumer"/>
    <x v="1"/>
    <s v="Paper"/>
    <n v="128.46"/>
    <n v="1"/>
    <n v="33.64"/>
  </r>
  <r>
    <s v="ORD-1367"/>
    <s v="2025-03-03"/>
    <x v="1"/>
    <s v="Consumer"/>
    <x v="1"/>
    <s v="Binders"/>
    <n v="35.729999999999997"/>
    <n v="2"/>
    <n v="9.91"/>
  </r>
  <r>
    <s v="ORD-1368"/>
    <s v="2025-03-03"/>
    <x v="0"/>
    <s v="Consumer"/>
    <x v="2"/>
    <s v="Phones"/>
    <n v="22.42"/>
    <n v="6"/>
    <n v="5.22"/>
  </r>
  <r>
    <s v="ORD-1369"/>
    <s v="2025-03-03"/>
    <x v="3"/>
    <s v="Consumer"/>
    <x v="2"/>
    <s v="Accessories"/>
    <n v="517.33000000000004"/>
    <n v="2"/>
    <n v="186.16"/>
  </r>
  <r>
    <s v="ORD-1370"/>
    <s v="2025-03-03"/>
    <x v="1"/>
    <s v="Consumer"/>
    <x v="2"/>
    <s v="Laptops"/>
    <n v="90.98"/>
    <n v="6"/>
    <n v="26"/>
  </r>
  <r>
    <s v="ORD-1371"/>
    <s v="2025-03-03"/>
    <x v="1"/>
    <s v="Home Office"/>
    <x v="2"/>
    <s v="Accessories"/>
    <n v="158.65"/>
    <n v="1"/>
    <n v="40.69"/>
  </r>
  <r>
    <s v="ORD-1372"/>
    <s v="2025-03-04"/>
    <x v="2"/>
    <s v="Consumer"/>
    <x v="2"/>
    <s v="Laptops"/>
    <n v="32.46"/>
    <n v="1"/>
    <n v="11.06"/>
  </r>
  <r>
    <s v="ORD-1373"/>
    <s v="2025-03-04"/>
    <x v="1"/>
    <s v="Consumer"/>
    <x v="1"/>
    <s v="Storage"/>
    <n v="192.38"/>
    <n v="5"/>
    <n v="30.25"/>
  </r>
  <r>
    <s v="ORD-1374"/>
    <s v="2025-03-04"/>
    <x v="0"/>
    <s v="Consumer"/>
    <x v="2"/>
    <s v="Phones"/>
    <n v="424.49"/>
    <n v="9"/>
    <n v="193.47"/>
  </r>
  <r>
    <s v="ORD-1375"/>
    <s v="2025-03-04"/>
    <x v="2"/>
    <s v="Consumer"/>
    <x v="0"/>
    <s v="Chairs"/>
    <n v="148.58000000000001"/>
    <n v="8"/>
    <n v="-28.8"/>
  </r>
  <r>
    <s v="ORD-1376"/>
    <s v="2025-03-04"/>
    <x v="3"/>
    <s v="Home Office"/>
    <x v="1"/>
    <s v="Storage"/>
    <n v="40.22"/>
    <n v="3"/>
    <n v="3.96"/>
  </r>
  <r>
    <s v="ORD-1377"/>
    <s v="2025-03-04"/>
    <x v="2"/>
    <s v="Consumer"/>
    <x v="2"/>
    <s v="Accessories"/>
    <n v="150.74"/>
    <n v="3"/>
    <n v="35.78"/>
  </r>
  <r>
    <s v="ORD-1378"/>
    <s v="2025-03-05"/>
    <x v="0"/>
    <s v="Consumer"/>
    <x v="1"/>
    <s v="Paper"/>
    <n v="238.09"/>
    <n v="1"/>
    <n v="46.18"/>
  </r>
  <r>
    <s v="ORD-1379"/>
    <s v="2025-03-05"/>
    <x v="0"/>
    <s v="Corporate"/>
    <x v="2"/>
    <s v="Phones"/>
    <n v="98.24"/>
    <n v="3"/>
    <n v="37.020000000000003"/>
  </r>
  <r>
    <s v="ORD-1380"/>
    <s v="2025-03-05"/>
    <x v="2"/>
    <s v="Consumer"/>
    <x v="2"/>
    <s v="Phones"/>
    <n v="337.84"/>
    <n v="1"/>
    <n v="83.64"/>
  </r>
  <r>
    <s v="ORD-1381"/>
    <s v="2025-03-05"/>
    <x v="3"/>
    <s v="Consumer"/>
    <x v="1"/>
    <s v="Storage"/>
    <n v="176.91"/>
    <n v="8"/>
    <n v="1.38"/>
  </r>
  <r>
    <s v="ORD-1382"/>
    <s v="2025-03-05"/>
    <x v="2"/>
    <s v="Consumer"/>
    <x v="1"/>
    <s v="Paper"/>
    <n v="364.27"/>
    <n v="1"/>
    <n v="85.33"/>
  </r>
  <r>
    <s v="ORD-1383"/>
    <s v="2025-03-05"/>
    <x v="3"/>
    <s v="Corporate"/>
    <x v="1"/>
    <s v="Storage"/>
    <n v="166.53"/>
    <n v="5"/>
    <n v="37.549999999999997"/>
  </r>
  <r>
    <s v="ORD-1384"/>
    <s v="2025-03-06"/>
    <x v="2"/>
    <s v="Home Office"/>
    <x v="1"/>
    <s v="Storage"/>
    <n v="41.11"/>
    <n v="9"/>
    <n v="-1.82"/>
  </r>
  <r>
    <s v="ORD-1385"/>
    <s v="2025-03-06"/>
    <x v="0"/>
    <s v="Corporate"/>
    <x v="1"/>
    <s v="Storage"/>
    <n v="75.59"/>
    <n v="7"/>
    <n v="11.31"/>
  </r>
  <r>
    <s v="ORD-1386"/>
    <s v="2025-03-06"/>
    <x v="1"/>
    <s v="Consumer"/>
    <x v="2"/>
    <s v="Laptops"/>
    <n v="53.81"/>
    <n v="4"/>
    <n v="4.9000000000000004"/>
  </r>
  <r>
    <s v="ORD-1387"/>
    <s v="2025-03-06"/>
    <x v="1"/>
    <s v="Home Office"/>
    <x v="2"/>
    <s v="Phones"/>
    <n v="379.25"/>
    <n v="9"/>
    <n v="69.61"/>
  </r>
  <r>
    <s v="ORD-1388"/>
    <s v="2025-03-06"/>
    <x v="3"/>
    <s v="Consumer"/>
    <x v="1"/>
    <s v="Binders"/>
    <n v="234.32"/>
    <n v="9"/>
    <n v="13.99"/>
  </r>
  <r>
    <s v="ORD-1389"/>
    <s v="2025-03-06"/>
    <x v="3"/>
    <s v="Consumer"/>
    <x v="1"/>
    <s v="Binders"/>
    <n v="189.24"/>
    <n v="2"/>
    <n v="43.7"/>
  </r>
  <r>
    <s v="ORD-1390"/>
    <s v="2025-03-07"/>
    <x v="3"/>
    <s v="Consumer"/>
    <x v="1"/>
    <s v="Storage"/>
    <n v="73.709999999999994"/>
    <n v="6"/>
    <n v="11.92"/>
  </r>
  <r>
    <s v="ORD-1391"/>
    <s v="2025-03-07"/>
    <x v="0"/>
    <s v="Consumer"/>
    <x v="0"/>
    <s v="Bookcases"/>
    <n v="50.51"/>
    <n v="4"/>
    <n v="-9.02"/>
  </r>
  <r>
    <s v="ORD-1392"/>
    <s v="2025-03-07"/>
    <x v="2"/>
    <s v="Corporate"/>
    <x v="0"/>
    <s v="Chairs"/>
    <n v="231.87"/>
    <n v="8"/>
    <n v="8.81"/>
  </r>
  <r>
    <s v="ORD-1393"/>
    <s v="2025-03-07"/>
    <x v="0"/>
    <s v="Corporate"/>
    <x v="1"/>
    <s v="Paper"/>
    <n v="116.41"/>
    <n v="7"/>
    <n v="0.77"/>
  </r>
  <r>
    <s v="ORD-1394"/>
    <s v="2025-03-07"/>
    <x v="1"/>
    <s v="Home Office"/>
    <x v="0"/>
    <s v="Tables"/>
    <n v="58.39"/>
    <n v="7"/>
    <n v="-0.99"/>
  </r>
  <r>
    <s v="ORD-1395"/>
    <s v="2025-03-07"/>
    <x v="3"/>
    <s v="Corporate"/>
    <x v="1"/>
    <s v="Paper"/>
    <n v="163.81"/>
    <n v="9"/>
    <n v="11.24"/>
  </r>
  <r>
    <s v="ORD-1396"/>
    <s v="2025-03-08"/>
    <x v="2"/>
    <s v="Corporate"/>
    <x v="1"/>
    <s v="Paper"/>
    <n v="26.18"/>
    <n v="5"/>
    <n v="2.97"/>
  </r>
  <r>
    <s v="ORD-1397"/>
    <s v="2025-03-08"/>
    <x v="1"/>
    <s v="Consumer"/>
    <x v="0"/>
    <s v="Bookcases"/>
    <n v="79.22"/>
    <n v="6"/>
    <n v="0.03"/>
  </r>
  <r>
    <s v="ORD-1398"/>
    <s v="2025-03-08"/>
    <x v="1"/>
    <s v="Consumer"/>
    <x v="1"/>
    <s v="Storage"/>
    <n v="114.82"/>
    <n v="1"/>
    <n v="23.21"/>
  </r>
  <r>
    <s v="ORD-1399"/>
    <s v="2025-03-08"/>
    <x v="1"/>
    <s v="Corporate"/>
    <x v="1"/>
    <s v="Storage"/>
    <n v="44.02"/>
    <n v="6"/>
    <n v="12.49"/>
  </r>
  <r>
    <s v="ORD-1400"/>
    <s v="2025-03-08"/>
    <x v="0"/>
    <s v="Consumer"/>
    <x v="2"/>
    <s v="Phones"/>
    <n v="646.54"/>
    <n v="2"/>
    <n v="156.32"/>
  </r>
  <r>
    <s v="ORD-1401"/>
    <s v="2025-03-08"/>
    <x v="3"/>
    <s v="Home Office"/>
    <x v="1"/>
    <s v="Paper"/>
    <n v="55.19"/>
    <n v="6"/>
    <n v="9.9700000000000006"/>
  </r>
  <r>
    <s v="ORD-1402"/>
    <s v="2025-03-09"/>
    <x v="1"/>
    <s v="Consumer"/>
    <x v="0"/>
    <s v="Tables"/>
    <n v="40.950000000000003"/>
    <n v="9"/>
    <n v="-3.84"/>
  </r>
  <r>
    <s v="ORD-1403"/>
    <s v="2025-03-09"/>
    <x v="3"/>
    <s v="Consumer"/>
    <x v="1"/>
    <s v="Storage"/>
    <n v="54.14"/>
    <n v="8"/>
    <n v="9.11"/>
  </r>
  <r>
    <s v="ORD-1404"/>
    <s v="2025-03-09"/>
    <x v="0"/>
    <s v="Consumer"/>
    <x v="0"/>
    <s v="Tables"/>
    <n v="239.84"/>
    <n v="9"/>
    <n v="-1.45"/>
  </r>
  <r>
    <s v="ORD-1405"/>
    <s v="2025-03-09"/>
    <x v="1"/>
    <s v="Consumer"/>
    <x v="1"/>
    <s v="Storage"/>
    <n v="103.14"/>
    <n v="8"/>
    <n v="14.46"/>
  </r>
  <r>
    <s v="ORD-1406"/>
    <s v="2025-03-09"/>
    <x v="0"/>
    <s v="Consumer"/>
    <x v="0"/>
    <s v="Chairs"/>
    <n v="145"/>
    <n v="3"/>
    <n v="-33.4"/>
  </r>
  <r>
    <s v="ORD-1407"/>
    <s v="2025-03-09"/>
    <x v="0"/>
    <s v="Corporate"/>
    <x v="2"/>
    <s v="Phones"/>
    <n v="23.18"/>
    <n v="8"/>
    <n v="6.56"/>
  </r>
  <r>
    <s v="ORD-1408"/>
    <s v="2025-03-10"/>
    <x v="3"/>
    <s v="Consumer"/>
    <x v="1"/>
    <s v="Storage"/>
    <n v="25.26"/>
    <n v="6"/>
    <n v="4.71"/>
  </r>
  <r>
    <s v="ORD-1409"/>
    <s v="2025-03-10"/>
    <x v="1"/>
    <s v="Corporate"/>
    <x v="2"/>
    <s v="Phones"/>
    <n v="108.54"/>
    <n v="6"/>
    <n v="19.75"/>
  </r>
  <r>
    <s v="ORD-1410"/>
    <s v="2025-03-10"/>
    <x v="0"/>
    <s v="Consumer"/>
    <x v="0"/>
    <s v="Chairs"/>
    <n v="274.45999999999998"/>
    <n v="6"/>
    <n v="-48.97"/>
  </r>
  <r>
    <s v="ORD-1411"/>
    <s v="2025-03-10"/>
    <x v="1"/>
    <s v="Consumer"/>
    <x v="1"/>
    <s v="Storage"/>
    <n v="344.74"/>
    <n v="3"/>
    <n v="102.59"/>
  </r>
  <r>
    <s v="ORD-1412"/>
    <s v="2025-03-10"/>
    <x v="3"/>
    <s v="Consumer"/>
    <x v="1"/>
    <s v="Paper"/>
    <n v="33.6"/>
    <n v="1"/>
    <n v="6.69"/>
  </r>
  <r>
    <s v="ORD-1413"/>
    <s v="2025-03-10"/>
    <x v="0"/>
    <s v="Home Office"/>
    <x v="0"/>
    <s v="Chairs"/>
    <n v="135.94999999999999"/>
    <n v="4"/>
    <n v="-9.91"/>
  </r>
  <r>
    <s v="ORD-1414"/>
    <s v="2025-03-11"/>
    <x v="3"/>
    <s v="Consumer"/>
    <x v="1"/>
    <s v="Storage"/>
    <n v="386.67"/>
    <n v="6"/>
    <n v="14.03"/>
  </r>
  <r>
    <s v="ORD-1415"/>
    <s v="2025-03-11"/>
    <x v="1"/>
    <s v="Corporate"/>
    <x v="0"/>
    <s v="Tables"/>
    <n v="93.65"/>
    <n v="2"/>
    <n v="-12.38"/>
  </r>
  <r>
    <s v="ORD-1416"/>
    <s v="2025-03-11"/>
    <x v="1"/>
    <s v="Consumer"/>
    <x v="2"/>
    <s v="Accessories"/>
    <n v="285.41000000000003"/>
    <n v="7"/>
    <n v="108.53"/>
  </r>
  <r>
    <s v="ORD-1417"/>
    <s v="2025-03-11"/>
    <x v="3"/>
    <s v="Corporate"/>
    <x v="0"/>
    <s v="Tables"/>
    <n v="41.53"/>
    <n v="7"/>
    <n v="-1.5"/>
  </r>
  <r>
    <s v="ORD-1418"/>
    <s v="2025-03-11"/>
    <x v="2"/>
    <s v="Consumer"/>
    <x v="1"/>
    <s v="Storage"/>
    <n v="430.92"/>
    <n v="4"/>
    <n v="40.909999999999997"/>
  </r>
  <r>
    <s v="ORD-1419"/>
    <s v="2025-03-11"/>
    <x v="0"/>
    <s v="Corporate"/>
    <x v="1"/>
    <s v="Binders"/>
    <n v="228.8"/>
    <n v="4"/>
    <n v="45.98"/>
  </r>
  <r>
    <s v="ORD-1420"/>
    <s v="2025-03-12"/>
    <x v="1"/>
    <s v="Corporate"/>
    <x v="1"/>
    <s v="Binders"/>
    <n v="445.39"/>
    <n v="1"/>
    <n v="30.54"/>
  </r>
  <r>
    <s v="ORD-1421"/>
    <s v="2025-03-12"/>
    <x v="1"/>
    <s v="Home Office"/>
    <x v="1"/>
    <s v="Paper"/>
    <n v="189.34"/>
    <n v="2"/>
    <n v="56.82"/>
  </r>
  <r>
    <s v="ORD-1422"/>
    <s v="2025-03-12"/>
    <x v="0"/>
    <s v="Consumer"/>
    <x v="2"/>
    <s v="Laptops"/>
    <n v="87.74"/>
    <n v="9"/>
    <n v="33.799999999999997"/>
  </r>
  <r>
    <s v="ORD-1423"/>
    <s v="2025-03-12"/>
    <x v="3"/>
    <s v="Consumer"/>
    <x v="0"/>
    <s v="Tables"/>
    <n v="437.53"/>
    <n v="8"/>
    <n v="-42.29"/>
  </r>
  <r>
    <s v="ORD-1424"/>
    <s v="2025-03-12"/>
    <x v="3"/>
    <s v="Consumer"/>
    <x v="2"/>
    <s v="Phones"/>
    <n v="68.349999999999994"/>
    <n v="8"/>
    <n v="12.79"/>
  </r>
  <r>
    <s v="ORD-1425"/>
    <s v="2025-03-12"/>
    <x v="3"/>
    <s v="Home Office"/>
    <x v="0"/>
    <s v="Bookcases"/>
    <n v="80.56"/>
    <n v="9"/>
    <n v="-25.12"/>
  </r>
  <r>
    <s v="ORD-1426"/>
    <s v="2025-03-13"/>
    <x v="2"/>
    <s v="Corporate"/>
    <x v="0"/>
    <s v="Chairs"/>
    <n v="201"/>
    <n v="7"/>
    <n v="-39.83"/>
  </r>
  <r>
    <s v="ORD-1427"/>
    <s v="2025-03-13"/>
    <x v="2"/>
    <s v="Corporate"/>
    <x v="1"/>
    <s v="Binders"/>
    <n v="237.43"/>
    <n v="9"/>
    <n v="3.81"/>
  </r>
  <r>
    <s v="ORD-1428"/>
    <s v="2025-03-13"/>
    <x v="1"/>
    <s v="Consumer"/>
    <x v="0"/>
    <s v="Chairs"/>
    <n v="417.62"/>
    <n v="2"/>
    <n v="-15.24"/>
  </r>
  <r>
    <s v="ORD-1429"/>
    <s v="2025-03-13"/>
    <x v="3"/>
    <s v="Consumer"/>
    <x v="2"/>
    <s v="Laptops"/>
    <n v="54.37"/>
    <n v="6"/>
    <n v="11.82"/>
  </r>
  <r>
    <s v="ORD-1430"/>
    <s v="2025-03-13"/>
    <x v="0"/>
    <s v="Consumer"/>
    <x v="2"/>
    <s v="Phones"/>
    <n v="259.92"/>
    <n v="3"/>
    <n v="30.01"/>
  </r>
  <r>
    <s v="ORD-1431"/>
    <s v="2025-03-13"/>
    <x v="1"/>
    <s v="Home Office"/>
    <x v="1"/>
    <s v="Storage"/>
    <n v="221.22"/>
    <n v="6"/>
    <n v="26.96"/>
  </r>
  <r>
    <s v="ORD-1432"/>
    <s v="2025-03-14"/>
    <x v="0"/>
    <s v="Corporate"/>
    <x v="1"/>
    <s v="Binders"/>
    <n v="29.89"/>
    <n v="3"/>
    <n v="5.99"/>
  </r>
  <r>
    <s v="ORD-1433"/>
    <s v="2025-03-14"/>
    <x v="1"/>
    <s v="Home Office"/>
    <x v="2"/>
    <s v="Phones"/>
    <n v="93.46"/>
    <n v="8"/>
    <n v="28.3"/>
  </r>
  <r>
    <s v="ORD-1434"/>
    <s v="2025-03-14"/>
    <x v="2"/>
    <s v="Consumer"/>
    <x v="2"/>
    <s v="Phones"/>
    <n v="69.849999999999994"/>
    <n v="4"/>
    <n v="4.1900000000000004"/>
  </r>
  <r>
    <s v="ORD-1435"/>
    <s v="2025-03-14"/>
    <x v="1"/>
    <s v="Corporate"/>
    <x v="1"/>
    <s v="Storage"/>
    <n v="74.47"/>
    <n v="6"/>
    <n v="10.220000000000001"/>
  </r>
  <r>
    <s v="ORD-1436"/>
    <s v="2025-03-14"/>
    <x v="2"/>
    <s v="Corporate"/>
    <x v="2"/>
    <s v="Laptops"/>
    <n v="630.71"/>
    <n v="9"/>
    <n v="70.430000000000007"/>
  </r>
  <r>
    <s v="ORD-1437"/>
    <s v="2025-03-14"/>
    <x v="1"/>
    <s v="Consumer"/>
    <x v="1"/>
    <s v="Binders"/>
    <n v="174.41"/>
    <n v="2"/>
    <n v="41.89"/>
  </r>
  <r>
    <s v="ORD-1438"/>
    <s v="2025-03-15"/>
    <x v="3"/>
    <s v="Home Office"/>
    <x v="1"/>
    <s v="Storage"/>
    <n v="209.71"/>
    <n v="2"/>
    <n v="47.9"/>
  </r>
  <r>
    <s v="ORD-1439"/>
    <s v="2025-03-15"/>
    <x v="0"/>
    <s v="Home Office"/>
    <x v="2"/>
    <s v="Phones"/>
    <n v="583.37"/>
    <n v="7"/>
    <n v="93.45"/>
  </r>
  <r>
    <s v="ORD-1440"/>
    <s v="2025-03-15"/>
    <x v="3"/>
    <s v="Home Office"/>
    <x v="2"/>
    <s v="Laptops"/>
    <n v="91.03"/>
    <n v="2"/>
    <n v="15.78"/>
  </r>
  <r>
    <s v="ORD-1441"/>
    <s v="2025-03-15"/>
    <x v="1"/>
    <s v="Corporate"/>
    <x v="1"/>
    <s v="Binders"/>
    <n v="262.8"/>
    <n v="2"/>
    <n v="27.3"/>
  </r>
  <r>
    <s v="ORD-1442"/>
    <s v="2025-03-15"/>
    <x v="1"/>
    <s v="Consumer"/>
    <x v="0"/>
    <s v="Chairs"/>
    <n v="105.51"/>
    <n v="4"/>
    <n v="-29.04"/>
  </r>
  <r>
    <s v="ORD-1443"/>
    <s v="2025-03-15"/>
    <x v="1"/>
    <s v="Consumer"/>
    <x v="0"/>
    <s v="Chairs"/>
    <n v="325.5"/>
    <n v="9"/>
    <n v="-5.34"/>
  </r>
  <r>
    <s v="ORD-1444"/>
    <s v="2025-03-16"/>
    <x v="2"/>
    <s v="Home Office"/>
    <x v="1"/>
    <s v="Storage"/>
    <n v="49.89"/>
    <n v="8"/>
    <n v="6.12"/>
  </r>
  <r>
    <s v="ORD-1445"/>
    <s v="2025-03-16"/>
    <x v="0"/>
    <s v="Consumer"/>
    <x v="1"/>
    <s v="Paper"/>
    <n v="462.57"/>
    <n v="2"/>
    <n v="114.26"/>
  </r>
  <r>
    <s v="ORD-1446"/>
    <s v="2025-03-16"/>
    <x v="0"/>
    <s v="Corporate"/>
    <x v="1"/>
    <s v="Binders"/>
    <n v="57.03"/>
    <n v="8"/>
    <n v="2.29"/>
  </r>
  <r>
    <s v="ORD-1447"/>
    <s v="2025-03-16"/>
    <x v="1"/>
    <s v="Corporate"/>
    <x v="1"/>
    <s v="Paper"/>
    <n v="79.23"/>
    <n v="4"/>
    <n v="6.98"/>
  </r>
  <r>
    <s v="ORD-1448"/>
    <s v="2025-03-16"/>
    <x v="1"/>
    <s v="Corporate"/>
    <x v="0"/>
    <s v="Bookcases"/>
    <n v="231.71"/>
    <n v="2"/>
    <n v="-46.49"/>
  </r>
  <r>
    <s v="ORD-1449"/>
    <s v="2025-03-16"/>
    <x v="2"/>
    <s v="Home Office"/>
    <x v="2"/>
    <s v="Laptops"/>
    <n v="95.07"/>
    <n v="7"/>
    <n v="14.22"/>
  </r>
  <r>
    <s v="ORD-1450"/>
    <s v="2025-03-17"/>
    <x v="3"/>
    <s v="Consumer"/>
    <x v="1"/>
    <s v="Binders"/>
    <n v="160.55000000000001"/>
    <n v="6"/>
    <n v="5.1100000000000003"/>
  </r>
  <r>
    <s v="ORD-1451"/>
    <s v="2025-03-17"/>
    <x v="3"/>
    <s v="Consumer"/>
    <x v="0"/>
    <s v="Bookcases"/>
    <n v="108.2"/>
    <n v="5"/>
    <n v="5.37"/>
  </r>
  <r>
    <s v="ORD-1452"/>
    <s v="2025-03-17"/>
    <x v="0"/>
    <s v="Consumer"/>
    <x v="0"/>
    <s v="Bookcases"/>
    <n v="223.43"/>
    <n v="1"/>
    <n v="-26.77"/>
  </r>
  <r>
    <s v="ORD-1453"/>
    <s v="2025-03-17"/>
    <x v="2"/>
    <s v="Consumer"/>
    <x v="1"/>
    <s v="Binders"/>
    <n v="58.88"/>
    <n v="2"/>
    <n v="9.56"/>
  </r>
  <r>
    <s v="ORD-1454"/>
    <s v="2025-03-17"/>
    <x v="1"/>
    <s v="Consumer"/>
    <x v="2"/>
    <s v="Laptops"/>
    <n v="29.04"/>
    <n v="8"/>
    <n v="6.15"/>
  </r>
  <r>
    <s v="ORD-1455"/>
    <s v="2025-03-17"/>
    <x v="0"/>
    <s v="Consumer"/>
    <x v="0"/>
    <s v="Tables"/>
    <n v="73.489999999999995"/>
    <n v="1"/>
    <n v="-13"/>
  </r>
  <r>
    <s v="ORD-1456"/>
    <s v="2025-03-18"/>
    <x v="2"/>
    <s v="Home Office"/>
    <x v="2"/>
    <s v="Phones"/>
    <n v="116.46"/>
    <n v="3"/>
    <n v="27.15"/>
  </r>
  <r>
    <s v="ORD-1457"/>
    <s v="2025-03-18"/>
    <x v="3"/>
    <s v="Home Office"/>
    <x v="0"/>
    <s v="Chairs"/>
    <n v="47.59"/>
    <n v="2"/>
    <n v="0.47"/>
  </r>
  <r>
    <s v="ORD-1458"/>
    <s v="2025-03-18"/>
    <x v="2"/>
    <s v="Consumer"/>
    <x v="2"/>
    <s v="Accessories"/>
    <n v="85.73"/>
    <n v="5"/>
    <n v="11.08"/>
  </r>
  <r>
    <s v="ORD-1459"/>
    <s v="2025-03-18"/>
    <x v="3"/>
    <s v="Consumer"/>
    <x v="2"/>
    <s v="Accessories"/>
    <n v="96.62"/>
    <n v="4"/>
    <n v="31.97"/>
  </r>
  <r>
    <s v="ORD-1460"/>
    <s v="2025-03-18"/>
    <x v="2"/>
    <s v="Home Office"/>
    <x v="2"/>
    <s v="Accessories"/>
    <n v="28.87"/>
    <n v="7"/>
    <n v="4.76"/>
  </r>
  <r>
    <s v="ORD-1461"/>
    <s v="2025-03-18"/>
    <x v="0"/>
    <s v="Consumer"/>
    <x v="1"/>
    <s v="Paper"/>
    <n v="151.31"/>
    <n v="5"/>
    <n v="15.39"/>
  </r>
  <r>
    <s v="ORD-1462"/>
    <s v="2025-03-19"/>
    <x v="3"/>
    <s v="Consumer"/>
    <x v="1"/>
    <s v="Binders"/>
    <n v="343.57"/>
    <n v="8"/>
    <n v="69.77"/>
  </r>
  <r>
    <s v="ORD-1463"/>
    <s v="2025-03-19"/>
    <x v="0"/>
    <s v="Consumer"/>
    <x v="0"/>
    <s v="Chairs"/>
    <n v="44.69"/>
    <n v="4"/>
    <n v="-5.2"/>
  </r>
  <r>
    <s v="ORD-1464"/>
    <s v="2025-03-19"/>
    <x v="0"/>
    <s v="Corporate"/>
    <x v="1"/>
    <s v="Binders"/>
    <n v="156.62"/>
    <n v="6"/>
    <n v="24.08"/>
  </r>
  <r>
    <s v="ORD-1465"/>
    <s v="2025-03-19"/>
    <x v="3"/>
    <s v="Consumer"/>
    <x v="0"/>
    <s v="Chairs"/>
    <n v="183.93"/>
    <n v="4"/>
    <n v="-14.98"/>
  </r>
  <r>
    <s v="ORD-1466"/>
    <s v="2025-03-19"/>
    <x v="3"/>
    <s v="Home Office"/>
    <x v="2"/>
    <s v="Phones"/>
    <n v="101.54"/>
    <n v="2"/>
    <n v="26.7"/>
  </r>
  <r>
    <s v="ORD-1467"/>
    <s v="2025-03-19"/>
    <x v="1"/>
    <s v="Consumer"/>
    <x v="1"/>
    <s v="Paper"/>
    <n v="201.15"/>
    <n v="1"/>
    <n v="-17.72"/>
  </r>
  <r>
    <s v="ORD-1468"/>
    <s v="2025-03-20"/>
    <x v="1"/>
    <s v="Corporate"/>
    <x v="2"/>
    <s v="Laptops"/>
    <n v="99.33"/>
    <n v="1"/>
    <n v="6.66"/>
  </r>
  <r>
    <s v="ORD-1469"/>
    <s v="2025-03-20"/>
    <x v="1"/>
    <s v="Consumer"/>
    <x v="1"/>
    <s v="Paper"/>
    <n v="125.37"/>
    <n v="8"/>
    <n v="26.53"/>
  </r>
  <r>
    <s v="ORD-1470"/>
    <s v="2025-03-20"/>
    <x v="0"/>
    <s v="Consumer"/>
    <x v="2"/>
    <s v="Laptops"/>
    <n v="21.11"/>
    <n v="4"/>
    <n v="7.47"/>
  </r>
  <r>
    <s v="ORD-1471"/>
    <s v="2025-03-20"/>
    <x v="0"/>
    <s v="Corporate"/>
    <x v="1"/>
    <s v="Storage"/>
    <n v="196.51"/>
    <n v="5"/>
    <n v="11.58"/>
  </r>
  <r>
    <s v="ORD-1472"/>
    <s v="2025-03-20"/>
    <x v="1"/>
    <s v="Corporate"/>
    <x v="2"/>
    <s v="Accessories"/>
    <n v="182.41"/>
    <n v="8"/>
    <n v="41.15"/>
  </r>
  <r>
    <s v="ORD-1473"/>
    <s v="2025-03-20"/>
    <x v="0"/>
    <s v="Corporate"/>
    <x v="1"/>
    <s v="Paper"/>
    <n v="25.87"/>
    <n v="7"/>
    <n v="4.6399999999999997"/>
  </r>
  <r>
    <s v="ORD-1474"/>
    <s v="2025-03-21"/>
    <x v="0"/>
    <s v="Corporate"/>
    <x v="0"/>
    <s v="Chairs"/>
    <n v="88.89"/>
    <n v="8"/>
    <n v="1.72"/>
  </r>
  <r>
    <s v="ORD-1475"/>
    <s v="2025-03-21"/>
    <x v="3"/>
    <s v="Home Office"/>
    <x v="1"/>
    <s v="Storage"/>
    <n v="599.71"/>
    <n v="8"/>
    <n v="-31.65"/>
  </r>
  <r>
    <s v="ORD-1476"/>
    <s v="2025-03-21"/>
    <x v="3"/>
    <s v="Home Office"/>
    <x v="2"/>
    <s v="Phones"/>
    <n v="101.9"/>
    <n v="6"/>
    <n v="16.45"/>
  </r>
  <r>
    <s v="ORD-1477"/>
    <s v="2025-03-21"/>
    <x v="0"/>
    <s v="Corporate"/>
    <x v="0"/>
    <s v="Tables"/>
    <n v="124.56"/>
    <n v="2"/>
    <n v="-10.37"/>
  </r>
  <r>
    <s v="ORD-1478"/>
    <s v="2025-03-21"/>
    <x v="1"/>
    <s v="Consumer"/>
    <x v="1"/>
    <s v="Binders"/>
    <n v="381.08"/>
    <n v="6"/>
    <n v="83.96"/>
  </r>
  <r>
    <s v="ORD-1479"/>
    <s v="2025-03-21"/>
    <x v="2"/>
    <s v="Consumer"/>
    <x v="0"/>
    <s v="Tables"/>
    <n v="209.49"/>
    <n v="1"/>
    <n v="41.87"/>
  </r>
  <r>
    <s v="ORD-1480"/>
    <s v="2025-03-22"/>
    <x v="1"/>
    <s v="Consumer"/>
    <x v="1"/>
    <s v="Binders"/>
    <n v="150.87"/>
    <n v="1"/>
    <n v="19.190000000000001"/>
  </r>
  <r>
    <s v="ORD-1481"/>
    <s v="2025-03-22"/>
    <x v="2"/>
    <s v="Corporate"/>
    <x v="1"/>
    <s v="Paper"/>
    <n v="259.77999999999997"/>
    <n v="3"/>
    <n v="2.42"/>
  </r>
  <r>
    <s v="ORD-1482"/>
    <s v="2025-03-22"/>
    <x v="1"/>
    <s v="Consumer"/>
    <x v="0"/>
    <s v="Tables"/>
    <n v="319.67"/>
    <n v="3"/>
    <n v="-3.12"/>
  </r>
  <r>
    <s v="ORD-1483"/>
    <s v="2025-03-22"/>
    <x v="3"/>
    <s v="Consumer"/>
    <x v="1"/>
    <s v="Storage"/>
    <n v="111.57"/>
    <n v="5"/>
    <n v="31.47"/>
  </r>
  <r>
    <s v="ORD-1484"/>
    <s v="2025-03-22"/>
    <x v="0"/>
    <s v="Home Office"/>
    <x v="0"/>
    <s v="Bookcases"/>
    <n v="116.68"/>
    <n v="1"/>
    <n v="-4.57"/>
  </r>
  <r>
    <s v="ORD-1485"/>
    <s v="2025-03-22"/>
    <x v="0"/>
    <s v="Home Office"/>
    <x v="1"/>
    <s v="Paper"/>
    <n v="93.18"/>
    <n v="6"/>
    <n v="5.53"/>
  </r>
  <r>
    <s v="ORD-1486"/>
    <s v="2025-03-23"/>
    <x v="3"/>
    <s v="Home Office"/>
    <x v="2"/>
    <s v="Accessories"/>
    <n v="530.36"/>
    <n v="7"/>
    <n v="183.4"/>
  </r>
  <r>
    <s v="ORD-1487"/>
    <s v="2025-03-23"/>
    <x v="2"/>
    <s v="Consumer"/>
    <x v="2"/>
    <s v="Phones"/>
    <n v="199.19"/>
    <n v="3"/>
    <n v="63.01"/>
  </r>
  <r>
    <s v="ORD-1488"/>
    <s v="2025-03-23"/>
    <x v="2"/>
    <s v="Corporate"/>
    <x v="1"/>
    <s v="Storage"/>
    <n v="33.03"/>
    <n v="4"/>
    <n v="1.57"/>
  </r>
  <r>
    <s v="ORD-1489"/>
    <s v="2025-03-23"/>
    <x v="2"/>
    <s v="Consumer"/>
    <x v="1"/>
    <s v="Binders"/>
    <n v="318.12"/>
    <n v="3"/>
    <n v="59.85"/>
  </r>
  <r>
    <s v="ORD-1490"/>
    <s v="2025-03-23"/>
    <x v="3"/>
    <s v="Consumer"/>
    <x v="0"/>
    <s v="Tables"/>
    <n v="118.25"/>
    <n v="1"/>
    <n v="5.88"/>
  </r>
  <r>
    <s v="ORD-1491"/>
    <s v="2025-03-23"/>
    <x v="2"/>
    <s v="Consumer"/>
    <x v="1"/>
    <s v="Binders"/>
    <n v="30.68"/>
    <n v="8"/>
    <n v="8.23"/>
  </r>
  <r>
    <s v="ORD-1492"/>
    <s v="2025-03-24"/>
    <x v="3"/>
    <s v="Consumer"/>
    <x v="2"/>
    <s v="Accessories"/>
    <n v="139.68"/>
    <n v="2"/>
    <n v="33.99"/>
  </r>
  <r>
    <s v="ORD-1493"/>
    <s v="2025-03-24"/>
    <x v="1"/>
    <s v="Consumer"/>
    <x v="2"/>
    <s v="Laptops"/>
    <n v="100.98"/>
    <n v="1"/>
    <n v="21.63"/>
  </r>
  <r>
    <s v="ORD-1494"/>
    <s v="2025-03-24"/>
    <x v="1"/>
    <s v="Home Office"/>
    <x v="0"/>
    <s v="Chairs"/>
    <n v="335.25"/>
    <n v="8"/>
    <n v="24.38"/>
  </r>
  <r>
    <s v="ORD-1495"/>
    <s v="2025-03-24"/>
    <x v="3"/>
    <s v="Consumer"/>
    <x v="0"/>
    <s v="Tables"/>
    <n v="54.22"/>
    <n v="7"/>
    <n v="-9.27"/>
  </r>
  <r>
    <s v="ORD-1496"/>
    <s v="2025-03-24"/>
    <x v="0"/>
    <s v="Corporate"/>
    <x v="0"/>
    <s v="Bookcases"/>
    <n v="282.70999999999998"/>
    <n v="7"/>
    <n v="-1.74"/>
  </r>
  <r>
    <s v="ORD-1497"/>
    <s v="2025-03-24"/>
    <x v="1"/>
    <s v="Corporate"/>
    <x v="2"/>
    <s v="Phones"/>
    <n v="142.36000000000001"/>
    <n v="4"/>
    <n v="16.09"/>
  </r>
  <r>
    <s v="ORD-1498"/>
    <s v="2025-03-25"/>
    <x v="2"/>
    <s v="Consumer"/>
    <x v="1"/>
    <s v="Storage"/>
    <n v="28.42"/>
    <n v="9"/>
    <n v="7.29"/>
  </r>
  <r>
    <s v="ORD-1499"/>
    <s v="2025-03-25"/>
    <x v="3"/>
    <s v="Consumer"/>
    <x v="1"/>
    <s v="Binders"/>
    <n v="555.51"/>
    <n v="6"/>
    <n v="68.989999999999995"/>
  </r>
  <r>
    <s v="ORD-1500"/>
    <s v="2025-03-25"/>
    <x v="2"/>
    <s v="Consumer"/>
    <x v="1"/>
    <s v="Paper"/>
    <n v="127.81"/>
    <n v="2"/>
    <n v="35.39"/>
  </r>
  <r>
    <s v="ORD-1501"/>
    <s v="2025-03-25"/>
    <x v="2"/>
    <s v="Corporate"/>
    <x v="0"/>
    <s v="Tables"/>
    <n v="71.56"/>
    <n v="1"/>
    <n v="-0.06"/>
  </r>
  <r>
    <s v="ORD-1502"/>
    <s v="2025-03-25"/>
    <x v="0"/>
    <s v="Consumer"/>
    <x v="0"/>
    <s v="Chairs"/>
    <n v="115.06"/>
    <n v="1"/>
    <n v="-19.829999999999998"/>
  </r>
  <r>
    <s v="ORD-1503"/>
    <s v="2025-03-25"/>
    <x v="2"/>
    <s v="Consumer"/>
    <x v="1"/>
    <s v="Paper"/>
    <n v="312.64"/>
    <n v="9"/>
    <n v="91.44"/>
  </r>
  <r>
    <s v="ORD-1504"/>
    <s v="2025-03-26"/>
    <x v="0"/>
    <s v="Consumer"/>
    <x v="1"/>
    <s v="Paper"/>
    <n v="74.56"/>
    <n v="4"/>
    <n v="22.75"/>
  </r>
  <r>
    <s v="ORD-1505"/>
    <s v="2025-03-26"/>
    <x v="1"/>
    <s v="Corporate"/>
    <x v="2"/>
    <s v="Accessories"/>
    <n v="52.1"/>
    <n v="5"/>
    <n v="17.62"/>
  </r>
  <r>
    <s v="ORD-1506"/>
    <s v="2025-03-26"/>
    <x v="3"/>
    <s v="Home Office"/>
    <x v="1"/>
    <s v="Storage"/>
    <n v="40.729999999999997"/>
    <n v="3"/>
    <n v="3.01"/>
  </r>
  <r>
    <s v="ORD-1507"/>
    <s v="2025-03-26"/>
    <x v="2"/>
    <s v="Consumer"/>
    <x v="1"/>
    <s v="Binders"/>
    <n v="73.040000000000006"/>
    <n v="4"/>
    <n v="8.7200000000000006"/>
  </r>
  <r>
    <s v="ORD-1508"/>
    <s v="2025-03-26"/>
    <x v="3"/>
    <s v="Corporate"/>
    <x v="1"/>
    <s v="Paper"/>
    <n v="247.15"/>
    <n v="8"/>
    <n v="40.67"/>
  </r>
  <r>
    <s v="ORD-1509"/>
    <s v="2025-03-26"/>
    <x v="2"/>
    <s v="Corporate"/>
    <x v="1"/>
    <s v="Storage"/>
    <n v="115.69"/>
    <n v="4"/>
    <n v="9.2100000000000009"/>
  </r>
  <r>
    <s v="ORD-1510"/>
    <s v="2025-03-27"/>
    <x v="3"/>
    <s v="Home Office"/>
    <x v="1"/>
    <s v="Storage"/>
    <n v="58.71"/>
    <n v="9"/>
    <n v="18.739999999999998"/>
  </r>
  <r>
    <s v="ORD-1511"/>
    <s v="2025-03-27"/>
    <x v="2"/>
    <s v="Home Office"/>
    <x v="0"/>
    <s v="Bookcases"/>
    <n v="47.26"/>
    <n v="9"/>
    <n v="-1.68"/>
  </r>
  <r>
    <s v="ORD-1512"/>
    <s v="2025-03-27"/>
    <x v="2"/>
    <s v="Corporate"/>
    <x v="1"/>
    <s v="Paper"/>
    <n v="80.680000000000007"/>
    <n v="6"/>
    <n v="-9.7100000000000009"/>
  </r>
  <r>
    <s v="ORD-1513"/>
    <s v="2025-03-27"/>
    <x v="2"/>
    <s v="Corporate"/>
    <x v="1"/>
    <s v="Paper"/>
    <n v="441.82"/>
    <n v="2"/>
    <n v="81.27"/>
  </r>
  <r>
    <s v="ORD-1514"/>
    <s v="2025-03-27"/>
    <x v="2"/>
    <s v="Home Office"/>
    <x v="2"/>
    <s v="Laptops"/>
    <n v="83.02"/>
    <n v="7"/>
    <n v="17.86"/>
  </r>
  <r>
    <s v="ORD-1515"/>
    <s v="2025-03-27"/>
    <x v="2"/>
    <s v="Consumer"/>
    <x v="2"/>
    <s v="Laptops"/>
    <n v="684.99"/>
    <n v="9"/>
    <n v="166.12"/>
  </r>
  <r>
    <s v="ORD-1516"/>
    <s v="2025-03-28"/>
    <x v="2"/>
    <s v="Consumer"/>
    <x v="0"/>
    <s v="Chairs"/>
    <n v="119.61"/>
    <n v="6"/>
    <n v="-10.39"/>
  </r>
  <r>
    <s v="ORD-1517"/>
    <s v="2025-03-28"/>
    <x v="2"/>
    <s v="Consumer"/>
    <x v="1"/>
    <s v="Storage"/>
    <n v="49.61"/>
    <n v="3"/>
    <n v="11.45"/>
  </r>
  <r>
    <s v="ORD-1518"/>
    <s v="2025-03-28"/>
    <x v="2"/>
    <s v="Home Office"/>
    <x v="1"/>
    <s v="Binders"/>
    <n v="352.65"/>
    <n v="7"/>
    <n v="92.38"/>
  </r>
  <r>
    <s v="ORD-1519"/>
    <s v="2025-03-28"/>
    <x v="2"/>
    <s v="Home Office"/>
    <x v="2"/>
    <s v="Accessories"/>
    <n v="112.53"/>
    <n v="5"/>
    <n v="31.32"/>
  </r>
  <r>
    <s v="ORD-1520"/>
    <s v="2025-03-28"/>
    <x v="3"/>
    <s v="Consumer"/>
    <x v="0"/>
    <s v="Chairs"/>
    <n v="205.51"/>
    <n v="1"/>
    <n v="-17.25"/>
  </r>
  <r>
    <s v="ORD-1521"/>
    <s v="2025-03-28"/>
    <x v="0"/>
    <s v="Corporate"/>
    <x v="0"/>
    <s v="Chairs"/>
    <n v="637.6"/>
    <n v="3"/>
    <n v="-34.520000000000003"/>
  </r>
  <r>
    <s v="ORD-1522"/>
    <s v="2025-03-29"/>
    <x v="2"/>
    <s v="Consumer"/>
    <x v="1"/>
    <s v="Paper"/>
    <n v="27.72"/>
    <n v="5"/>
    <n v="4.21"/>
  </r>
  <r>
    <s v="ORD-1523"/>
    <s v="2025-03-29"/>
    <x v="0"/>
    <s v="Consumer"/>
    <x v="1"/>
    <s v="Storage"/>
    <n v="35.25"/>
    <n v="7"/>
    <n v="2.46"/>
  </r>
  <r>
    <s v="ORD-1524"/>
    <s v="2025-03-29"/>
    <x v="2"/>
    <s v="Home Office"/>
    <x v="1"/>
    <s v="Paper"/>
    <n v="211.19"/>
    <n v="3"/>
    <n v="43.9"/>
  </r>
  <r>
    <s v="ORD-1525"/>
    <s v="2025-03-29"/>
    <x v="2"/>
    <s v="Consumer"/>
    <x v="0"/>
    <s v="Tables"/>
    <n v="69.66"/>
    <n v="6"/>
    <n v="-0.28000000000000003"/>
  </r>
  <r>
    <s v="ORD-1526"/>
    <s v="2025-03-29"/>
    <x v="3"/>
    <s v="Consumer"/>
    <x v="0"/>
    <s v="Tables"/>
    <n v="50.56"/>
    <n v="5"/>
    <n v="5.26"/>
  </r>
  <r>
    <s v="ORD-1527"/>
    <s v="2025-03-29"/>
    <x v="1"/>
    <s v="Corporate"/>
    <x v="2"/>
    <s v="Laptops"/>
    <n v="26.02"/>
    <n v="1"/>
    <n v="9.77"/>
  </r>
  <r>
    <s v="ORD-1528"/>
    <s v="2025-03-30"/>
    <x v="1"/>
    <s v="Corporate"/>
    <x v="2"/>
    <s v="Laptops"/>
    <n v="23.31"/>
    <n v="6"/>
    <n v="4.2300000000000004"/>
  </r>
  <r>
    <s v="ORD-1529"/>
    <s v="2025-03-30"/>
    <x v="3"/>
    <s v="Consumer"/>
    <x v="1"/>
    <s v="Binders"/>
    <n v="243.41"/>
    <n v="8"/>
    <n v="56.48"/>
  </r>
  <r>
    <s v="ORD-1530"/>
    <s v="2025-03-30"/>
    <x v="0"/>
    <s v="Corporate"/>
    <x v="1"/>
    <s v="Paper"/>
    <n v="41.66"/>
    <n v="1"/>
    <n v="2.29"/>
  </r>
  <r>
    <s v="ORD-1531"/>
    <s v="2025-03-30"/>
    <x v="1"/>
    <s v="Corporate"/>
    <x v="1"/>
    <s v="Paper"/>
    <n v="114.59"/>
    <n v="2"/>
    <n v="25.16"/>
  </r>
  <r>
    <s v="ORD-1532"/>
    <s v="2025-03-30"/>
    <x v="3"/>
    <s v="Consumer"/>
    <x v="1"/>
    <s v="Binders"/>
    <n v="159.66999999999999"/>
    <n v="4"/>
    <n v="15.7"/>
  </r>
  <r>
    <s v="ORD-1533"/>
    <s v="2025-03-30"/>
    <x v="3"/>
    <s v="Consumer"/>
    <x v="0"/>
    <s v="Chairs"/>
    <n v="103.88"/>
    <n v="2"/>
    <n v="-15.82"/>
  </r>
  <r>
    <s v="ORD-1534"/>
    <s v="2025-03-31"/>
    <x v="1"/>
    <s v="Corporate"/>
    <x v="1"/>
    <s v="Paper"/>
    <n v="24.12"/>
    <n v="9"/>
    <n v="4.29"/>
  </r>
  <r>
    <s v="ORD-1535"/>
    <s v="2025-03-31"/>
    <x v="0"/>
    <s v="Consumer"/>
    <x v="1"/>
    <s v="Storage"/>
    <n v="249.53"/>
    <n v="8"/>
    <n v="-29.31"/>
  </r>
  <r>
    <s v="ORD-1536"/>
    <s v="2025-03-31"/>
    <x v="3"/>
    <s v="Home Office"/>
    <x v="1"/>
    <s v="Storage"/>
    <n v="21.59"/>
    <n v="8"/>
    <n v="-0.54"/>
  </r>
  <r>
    <s v="ORD-1537"/>
    <s v="2025-03-31"/>
    <x v="2"/>
    <s v="Home Office"/>
    <x v="2"/>
    <s v="Accessories"/>
    <n v="235.25"/>
    <n v="4"/>
    <n v="54.64"/>
  </r>
  <r>
    <s v="ORD-1538"/>
    <s v="2025-03-31"/>
    <x v="0"/>
    <s v="Home Office"/>
    <x v="0"/>
    <s v="Tables"/>
    <n v="355.67"/>
    <n v="5"/>
    <n v="-14.85"/>
  </r>
  <r>
    <s v="ORD-1539"/>
    <s v="2025-03-31"/>
    <x v="0"/>
    <s v="Consumer"/>
    <x v="2"/>
    <s v="Phones"/>
    <n v="105.07"/>
    <n v="4"/>
    <n v="22.39"/>
  </r>
  <r>
    <s v="ORD-1540"/>
    <s v="2025-04-01"/>
    <x v="1"/>
    <s v="Home Office"/>
    <x v="1"/>
    <s v="Storage"/>
    <n v="135.03"/>
    <n v="9"/>
    <n v="-1.07"/>
  </r>
  <r>
    <s v="ORD-1541"/>
    <s v="2025-04-01"/>
    <x v="1"/>
    <s v="Consumer"/>
    <x v="1"/>
    <s v="Binders"/>
    <n v="117.22"/>
    <n v="2"/>
    <n v="8"/>
  </r>
  <r>
    <s v="ORD-1542"/>
    <s v="2025-04-01"/>
    <x v="2"/>
    <s v="Consumer"/>
    <x v="2"/>
    <s v="Laptops"/>
    <n v="93.95"/>
    <n v="8"/>
    <n v="27.16"/>
  </r>
  <r>
    <s v="ORD-1543"/>
    <s v="2025-04-01"/>
    <x v="3"/>
    <s v="Consumer"/>
    <x v="1"/>
    <s v="Paper"/>
    <n v="347.62"/>
    <n v="2"/>
    <n v="72.37"/>
  </r>
  <r>
    <s v="ORD-1544"/>
    <s v="2025-04-01"/>
    <x v="1"/>
    <s v="Consumer"/>
    <x v="1"/>
    <s v="Binders"/>
    <n v="356.55"/>
    <n v="1"/>
    <n v="52.9"/>
  </r>
  <r>
    <s v="ORD-1545"/>
    <s v="2025-04-01"/>
    <x v="1"/>
    <s v="Corporate"/>
    <x v="0"/>
    <s v="Bookcases"/>
    <n v="81.38"/>
    <n v="3"/>
    <n v="5.35"/>
  </r>
  <r>
    <s v="ORD-1546"/>
    <s v="2025-04-02"/>
    <x v="0"/>
    <s v="Consumer"/>
    <x v="2"/>
    <s v="Laptops"/>
    <n v="163.19999999999999"/>
    <n v="9"/>
    <n v="47.29"/>
  </r>
  <r>
    <s v="ORD-1547"/>
    <s v="2025-04-02"/>
    <x v="1"/>
    <s v="Consumer"/>
    <x v="1"/>
    <s v="Binders"/>
    <n v="412.4"/>
    <n v="3"/>
    <n v="31.03"/>
  </r>
  <r>
    <s v="ORD-1548"/>
    <s v="2025-04-02"/>
    <x v="1"/>
    <s v="Corporate"/>
    <x v="0"/>
    <s v="Chairs"/>
    <n v="510.76"/>
    <n v="9"/>
    <n v="-39.86"/>
  </r>
  <r>
    <s v="ORD-1549"/>
    <s v="2025-04-02"/>
    <x v="1"/>
    <s v="Consumer"/>
    <x v="1"/>
    <s v="Paper"/>
    <n v="126.68"/>
    <n v="7"/>
    <n v="1.23"/>
  </r>
  <r>
    <s v="ORD-1550"/>
    <s v="2025-04-02"/>
    <x v="1"/>
    <s v="Corporate"/>
    <x v="0"/>
    <s v="Bookcases"/>
    <n v="110.45"/>
    <n v="1"/>
    <n v="-6.72"/>
  </r>
  <r>
    <s v="ORD-1551"/>
    <s v="2025-04-02"/>
    <x v="0"/>
    <s v="Consumer"/>
    <x v="1"/>
    <s v="Storage"/>
    <n v="69"/>
    <n v="5"/>
    <n v="18.02"/>
  </r>
  <r>
    <s v="ORD-1552"/>
    <s v="2025-04-03"/>
    <x v="2"/>
    <s v="Home Office"/>
    <x v="0"/>
    <s v="Chairs"/>
    <n v="498.66"/>
    <n v="9"/>
    <n v="9.24"/>
  </r>
  <r>
    <s v="ORD-1553"/>
    <s v="2025-04-03"/>
    <x v="2"/>
    <s v="Home Office"/>
    <x v="0"/>
    <s v="Chairs"/>
    <n v="43.12"/>
    <n v="3"/>
    <n v="3.89"/>
  </r>
  <r>
    <s v="ORD-1554"/>
    <s v="2025-04-03"/>
    <x v="3"/>
    <s v="Consumer"/>
    <x v="1"/>
    <s v="Binders"/>
    <n v="150.06"/>
    <n v="9"/>
    <n v="17.96"/>
  </r>
  <r>
    <s v="ORD-1555"/>
    <s v="2025-04-03"/>
    <x v="1"/>
    <s v="Consumer"/>
    <x v="0"/>
    <s v="Bookcases"/>
    <n v="69.81"/>
    <n v="5"/>
    <n v="5.91"/>
  </r>
  <r>
    <s v="ORD-1556"/>
    <s v="2025-04-03"/>
    <x v="0"/>
    <s v="Consumer"/>
    <x v="2"/>
    <s v="Accessories"/>
    <n v="69.069999999999993"/>
    <n v="9"/>
    <n v="15.93"/>
  </r>
  <r>
    <s v="ORD-1557"/>
    <s v="2025-04-03"/>
    <x v="3"/>
    <s v="Home Office"/>
    <x v="2"/>
    <s v="Laptops"/>
    <n v="97.87"/>
    <n v="6"/>
    <n v="38.869999999999997"/>
  </r>
  <r>
    <s v="ORD-1558"/>
    <s v="2025-04-04"/>
    <x v="3"/>
    <s v="Consumer"/>
    <x v="1"/>
    <s v="Binders"/>
    <n v="1027.93"/>
    <n v="9"/>
    <n v="151.94"/>
  </r>
  <r>
    <s v="ORD-1559"/>
    <s v="2025-04-04"/>
    <x v="2"/>
    <s v="Consumer"/>
    <x v="1"/>
    <s v="Storage"/>
    <n v="28.48"/>
    <n v="7"/>
    <n v="6.29"/>
  </r>
  <r>
    <s v="ORD-1560"/>
    <s v="2025-04-04"/>
    <x v="0"/>
    <s v="Consumer"/>
    <x v="1"/>
    <s v="Paper"/>
    <n v="149.61000000000001"/>
    <n v="7"/>
    <n v="44.51"/>
  </r>
  <r>
    <s v="ORD-1561"/>
    <s v="2025-04-04"/>
    <x v="0"/>
    <s v="Consumer"/>
    <x v="2"/>
    <s v="Laptops"/>
    <n v="32.93"/>
    <n v="8"/>
    <n v="7.6"/>
  </r>
  <r>
    <s v="ORD-1562"/>
    <s v="2025-04-04"/>
    <x v="0"/>
    <s v="Consumer"/>
    <x v="2"/>
    <s v="Laptops"/>
    <n v="45.18"/>
    <n v="7"/>
    <n v="12.28"/>
  </r>
  <r>
    <s v="ORD-1563"/>
    <s v="2025-04-04"/>
    <x v="2"/>
    <s v="Home Office"/>
    <x v="2"/>
    <s v="Phones"/>
    <n v="106.86"/>
    <n v="9"/>
    <n v="40.49"/>
  </r>
  <r>
    <s v="ORD-1564"/>
    <s v="2025-04-05"/>
    <x v="2"/>
    <s v="Consumer"/>
    <x v="0"/>
    <s v="Chairs"/>
    <n v="127.14"/>
    <n v="9"/>
    <n v="-8.0500000000000007"/>
  </r>
  <r>
    <s v="ORD-1565"/>
    <s v="2025-04-05"/>
    <x v="2"/>
    <s v="Consumer"/>
    <x v="0"/>
    <s v="Bookcases"/>
    <n v="64.92"/>
    <n v="6"/>
    <n v="-11.82"/>
  </r>
  <r>
    <s v="ORD-1566"/>
    <s v="2025-04-05"/>
    <x v="2"/>
    <s v="Home Office"/>
    <x v="0"/>
    <s v="Tables"/>
    <n v="77.069999999999993"/>
    <n v="7"/>
    <n v="12.66"/>
  </r>
  <r>
    <s v="ORD-1567"/>
    <s v="2025-04-05"/>
    <x v="2"/>
    <s v="Home Office"/>
    <x v="0"/>
    <s v="Tables"/>
    <n v="33.65"/>
    <n v="2"/>
    <n v="-3.26"/>
  </r>
  <r>
    <s v="ORD-1568"/>
    <s v="2025-04-05"/>
    <x v="1"/>
    <s v="Consumer"/>
    <x v="1"/>
    <s v="Storage"/>
    <n v="74.19"/>
    <n v="9"/>
    <n v="12.31"/>
  </r>
  <r>
    <s v="ORD-1569"/>
    <s v="2025-04-05"/>
    <x v="1"/>
    <s v="Consumer"/>
    <x v="0"/>
    <s v="Chairs"/>
    <n v="529.69000000000005"/>
    <n v="1"/>
    <n v="34.75"/>
  </r>
  <r>
    <s v="ORD-1570"/>
    <s v="2025-04-06"/>
    <x v="0"/>
    <s v="Consumer"/>
    <x v="0"/>
    <s v="Bookcases"/>
    <n v="454.27"/>
    <n v="1"/>
    <n v="-50.36"/>
  </r>
  <r>
    <s v="ORD-1571"/>
    <s v="2025-04-06"/>
    <x v="3"/>
    <s v="Home Office"/>
    <x v="1"/>
    <s v="Storage"/>
    <n v="81.17"/>
    <n v="3"/>
    <n v="3.99"/>
  </r>
  <r>
    <s v="ORD-1572"/>
    <s v="2025-04-06"/>
    <x v="0"/>
    <s v="Consumer"/>
    <x v="0"/>
    <s v="Bookcases"/>
    <n v="146.88999999999999"/>
    <n v="6"/>
    <n v="-3.62"/>
  </r>
  <r>
    <s v="ORD-1573"/>
    <s v="2025-04-06"/>
    <x v="3"/>
    <s v="Home Office"/>
    <x v="1"/>
    <s v="Paper"/>
    <n v="380.52"/>
    <n v="5"/>
    <n v="-11.15"/>
  </r>
  <r>
    <s v="ORD-1574"/>
    <s v="2025-04-06"/>
    <x v="2"/>
    <s v="Corporate"/>
    <x v="1"/>
    <s v="Paper"/>
    <n v="20.93"/>
    <n v="2"/>
    <n v="2.54"/>
  </r>
  <r>
    <s v="ORD-1575"/>
    <s v="2025-04-06"/>
    <x v="3"/>
    <s v="Corporate"/>
    <x v="1"/>
    <s v="Binders"/>
    <n v="269.64999999999998"/>
    <n v="9"/>
    <n v="47.05"/>
  </r>
  <r>
    <s v="ORD-1576"/>
    <s v="2025-04-07"/>
    <x v="0"/>
    <s v="Consumer"/>
    <x v="2"/>
    <s v="Phones"/>
    <n v="464.55"/>
    <n v="4"/>
    <n v="103.6"/>
  </r>
  <r>
    <s v="ORD-1577"/>
    <s v="2025-04-07"/>
    <x v="0"/>
    <s v="Consumer"/>
    <x v="1"/>
    <s v="Paper"/>
    <n v="34.369999999999997"/>
    <n v="4"/>
    <n v="-0.15"/>
  </r>
  <r>
    <s v="ORD-1578"/>
    <s v="2025-04-07"/>
    <x v="3"/>
    <s v="Consumer"/>
    <x v="0"/>
    <s v="Chairs"/>
    <n v="46.41"/>
    <n v="5"/>
    <n v="5.08"/>
  </r>
  <r>
    <s v="ORD-1579"/>
    <s v="2025-04-07"/>
    <x v="1"/>
    <s v="Consumer"/>
    <x v="2"/>
    <s v="Accessories"/>
    <n v="505.66"/>
    <n v="8"/>
    <n v="131.65"/>
  </r>
  <r>
    <s v="ORD-1580"/>
    <s v="2025-04-07"/>
    <x v="2"/>
    <s v="Corporate"/>
    <x v="0"/>
    <s v="Bookcases"/>
    <n v="135.68"/>
    <n v="4"/>
    <n v="12.63"/>
  </r>
  <r>
    <s v="ORD-1581"/>
    <s v="2025-04-07"/>
    <x v="2"/>
    <s v="Home Office"/>
    <x v="1"/>
    <s v="Binders"/>
    <n v="22.14"/>
    <n v="5"/>
    <n v="2.75"/>
  </r>
  <r>
    <s v="ORD-1582"/>
    <s v="2025-04-08"/>
    <x v="0"/>
    <s v="Corporate"/>
    <x v="0"/>
    <s v="Bookcases"/>
    <n v="64.69"/>
    <n v="4"/>
    <n v="-8.93"/>
  </r>
  <r>
    <s v="ORD-1583"/>
    <s v="2025-04-08"/>
    <x v="1"/>
    <s v="Corporate"/>
    <x v="0"/>
    <s v="Tables"/>
    <n v="109.66"/>
    <n v="6"/>
    <n v="-2.5299999999999998"/>
  </r>
  <r>
    <s v="ORD-1584"/>
    <s v="2025-04-08"/>
    <x v="3"/>
    <s v="Consumer"/>
    <x v="1"/>
    <s v="Storage"/>
    <n v="197.09"/>
    <n v="3"/>
    <n v="25.31"/>
  </r>
  <r>
    <s v="ORD-1585"/>
    <s v="2025-04-08"/>
    <x v="2"/>
    <s v="Consumer"/>
    <x v="2"/>
    <s v="Phones"/>
    <n v="218.17"/>
    <n v="8"/>
    <n v="28.85"/>
  </r>
  <r>
    <s v="ORD-1586"/>
    <s v="2025-04-08"/>
    <x v="1"/>
    <s v="Consumer"/>
    <x v="2"/>
    <s v="Phones"/>
    <n v="827.96"/>
    <n v="6"/>
    <n v="328.68"/>
  </r>
  <r>
    <s v="ORD-1587"/>
    <s v="2025-04-08"/>
    <x v="2"/>
    <s v="Corporate"/>
    <x v="2"/>
    <s v="Accessories"/>
    <n v="70.849999999999994"/>
    <n v="5"/>
    <n v="13.3"/>
  </r>
  <r>
    <s v="ORD-1588"/>
    <s v="2025-04-09"/>
    <x v="1"/>
    <s v="Home Office"/>
    <x v="2"/>
    <s v="Accessories"/>
    <n v="135.9"/>
    <n v="2"/>
    <n v="8.9700000000000006"/>
  </r>
  <r>
    <s v="ORD-1589"/>
    <s v="2025-04-09"/>
    <x v="1"/>
    <s v="Corporate"/>
    <x v="2"/>
    <s v="Accessories"/>
    <n v="134.32"/>
    <n v="7"/>
    <n v="51.42"/>
  </r>
  <r>
    <s v="ORD-1590"/>
    <s v="2025-04-09"/>
    <x v="0"/>
    <s v="Consumer"/>
    <x v="2"/>
    <s v="Accessories"/>
    <n v="98.04"/>
    <n v="2"/>
    <n v="19.57"/>
  </r>
  <r>
    <s v="ORD-1591"/>
    <s v="2025-04-09"/>
    <x v="2"/>
    <s v="Consumer"/>
    <x v="1"/>
    <s v="Paper"/>
    <n v="47.8"/>
    <n v="1"/>
    <n v="4.26"/>
  </r>
  <r>
    <s v="ORD-1592"/>
    <s v="2025-04-09"/>
    <x v="3"/>
    <s v="Corporate"/>
    <x v="2"/>
    <s v="Phones"/>
    <n v="588.85"/>
    <n v="7"/>
    <n v="43.26"/>
  </r>
  <r>
    <s v="ORD-1593"/>
    <s v="2025-04-09"/>
    <x v="0"/>
    <s v="Consumer"/>
    <x v="0"/>
    <s v="Tables"/>
    <n v="307.92"/>
    <n v="5"/>
    <n v="38.21"/>
  </r>
  <r>
    <s v="ORD-1594"/>
    <s v="2025-04-10"/>
    <x v="0"/>
    <s v="Home Office"/>
    <x v="1"/>
    <s v="Paper"/>
    <n v="123.47"/>
    <n v="1"/>
    <n v="2.6"/>
  </r>
  <r>
    <s v="ORD-1595"/>
    <s v="2025-04-10"/>
    <x v="3"/>
    <s v="Home Office"/>
    <x v="0"/>
    <s v="Chairs"/>
    <n v="158.66999999999999"/>
    <n v="4"/>
    <n v="-7.01"/>
  </r>
  <r>
    <s v="ORD-1596"/>
    <s v="2025-04-10"/>
    <x v="0"/>
    <s v="Corporate"/>
    <x v="1"/>
    <s v="Paper"/>
    <n v="58.67"/>
    <n v="4"/>
    <n v="14.15"/>
  </r>
  <r>
    <s v="ORD-1597"/>
    <s v="2025-04-10"/>
    <x v="1"/>
    <s v="Consumer"/>
    <x v="2"/>
    <s v="Phones"/>
    <n v="137.72"/>
    <n v="7"/>
    <n v="40.24"/>
  </r>
  <r>
    <s v="ORD-1598"/>
    <s v="2025-04-10"/>
    <x v="1"/>
    <s v="Consumer"/>
    <x v="2"/>
    <s v="Phones"/>
    <n v="198.1"/>
    <n v="9"/>
    <n v="48.34"/>
  </r>
  <r>
    <s v="ORD-1599"/>
    <s v="2025-04-10"/>
    <x v="2"/>
    <s v="Consumer"/>
    <x v="2"/>
    <s v="Laptops"/>
    <n v="128.59"/>
    <n v="2"/>
    <n v="10.27"/>
  </r>
  <r>
    <s v="ORD-1600"/>
    <s v="2025-04-11"/>
    <x v="2"/>
    <s v="Consumer"/>
    <x v="2"/>
    <s v="Laptops"/>
    <n v="715.12"/>
    <n v="1"/>
    <n v="120.87"/>
  </r>
  <r>
    <s v="ORD-1601"/>
    <s v="2025-04-11"/>
    <x v="3"/>
    <s v="Consumer"/>
    <x v="2"/>
    <s v="Laptops"/>
    <n v="161.76"/>
    <n v="2"/>
    <n v="43.48"/>
  </r>
  <r>
    <s v="ORD-1602"/>
    <s v="2025-04-11"/>
    <x v="2"/>
    <s v="Corporate"/>
    <x v="2"/>
    <s v="Laptops"/>
    <n v="89.54"/>
    <n v="7"/>
    <n v="15.34"/>
  </r>
  <r>
    <s v="ORD-1603"/>
    <s v="2025-04-11"/>
    <x v="1"/>
    <s v="Corporate"/>
    <x v="2"/>
    <s v="Accessories"/>
    <n v="241.86"/>
    <n v="6"/>
    <n v="65.38"/>
  </r>
  <r>
    <s v="ORD-1604"/>
    <s v="2025-04-11"/>
    <x v="3"/>
    <s v="Consumer"/>
    <x v="2"/>
    <s v="Laptops"/>
    <n v="48.03"/>
    <n v="4"/>
    <n v="15.28"/>
  </r>
  <r>
    <s v="ORD-1605"/>
    <s v="2025-04-11"/>
    <x v="3"/>
    <s v="Consumer"/>
    <x v="0"/>
    <s v="Chairs"/>
    <n v="92.8"/>
    <n v="1"/>
    <n v="4.29"/>
  </r>
  <r>
    <s v="ORD-1606"/>
    <s v="2025-04-12"/>
    <x v="2"/>
    <s v="Consumer"/>
    <x v="2"/>
    <s v="Accessories"/>
    <n v="83.92"/>
    <n v="1"/>
    <n v="10.69"/>
  </r>
  <r>
    <s v="ORD-1607"/>
    <s v="2025-04-12"/>
    <x v="1"/>
    <s v="Consumer"/>
    <x v="0"/>
    <s v="Bookcases"/>
    <n v="104.79"/>
    <n v="5"/>
    <n v="17.78"/>
  </r>
  <r>
    <s v="ORD-1608"/>
    <s v="2025-04-12"/>
    <x v="3"/>
    <s v="Home Office"/>
    <x v="0"/>
    <s v="Chairs"/>
    <n v="248.34"/>
    <n v="1"/>
    <n v="6.64"/>
  </r>
  <r>
    <s v="ORD-1609"/>
    <s v="2025-04-12"/>
    <x v="1"/>
    <s v="Consumer"/>
    <x v="1"/>
    <s v="Paper"/>
    <n v="119.3"/>
    <n v="7"/>
    <n v="17.87"/>
  </r>
  <r>
    <s v="ORD-1610"/>
    <s v="2025-04-12"/>
    <x v="1"/>
    <s v="Consumer"/>
    <x v="2"/>
    <s v="Accessories"/>
    <n v="256.99"/>
    <n v="1"/>
    <n v="92.25"/>
  </r>
  <r>
    <s v="ORD-1611"/>
    <s v="2025-04-12"/>
    <x v="1"/>
    <s v="Consumer"/>
    <x v="1"/>
    <s v="Binders"/>
    <n v="148.88"/>
    <n v="1"/>
    <n v="57.55"/>
  </r>
  <r>
    <s v="ORD-1612"/>
    <s v="2025-04-13"/>
    <x v="2"/>
    <s v="Home Office"/>
    <x v="1"/>
    <s v="Paper"/>
    <n v="82.8"/>
    <n v="2"/>
    <n v="0.51"/>
  </r>
  <r>
    <s v="ORD-1613"/>
    <s v="2025-04-13"/>
    <x v="0"/>
    <s v="Corporate"/>
    <x v="2"/>
    <s v="Phones"/>
    <n v="269.08999999999997"/>
    <n v="3"/>
    <n v="61.21"/>
  </r>
  <r>
    <s v="ORD-1614"/>
    <s v="2025-04-13"/>
    <x v="0"/>
    <s v="Consumer"/>
    <x v="1"/>
    <s v="Paper"/>
    <n v="60.83"/>
    <n v="1"/>
    <n v="-5.34"/>
  </r>
  <r>
    <s v="ORD-1615"/>
    <s v="2025-04-13"/>
    <x v="3"/>
    <s v="Corporate"/>
    <x v="1"/>
    <s v="Storage"/>
    <n v="58.11"/>
    <n v="9"/>
    <n v="9.84"/>
  </r>
  <r>
    <s v="ORD-1616"/>
    <s v="2025-04-13"/>
    <x v="1"/>
    <s v="Corporate"/>
    <x v="2"/>
    <s v="Accessories"/>
    <n v="125.33"/>
    <n v="8"/>
    <n v="35.909999999999997"/>
  </r>
  <r>
    <s v="ORD-1617"/>
    <s v="2025-04-13"/>
    <x v="2"/>
    <s v="Home Office"/>
    <x v="2"/>
    <s v="Laptops"/>
    <n v="65.34"/>
    <n v="5"/>
    <n v="16.079999999999998"/>
  </r>
  <r>
    <s v="ORD-1618"/>
    <s v="2025-04-14"/>
    <x v="1"/>
    <s v="Consumer"/>
    <x v="1"/>
    <s v="Storage"/>
    <n v="21.37"/>
    <n v="2"/>
    <n v="1.81"/>
  </r>
  <r>
    <s v="ORD-1619"/>
    <s v="2025-04-14"/>
    <x v="1"/>
    <s v="Home Office"/>
    <x v="1"/>
    <s v="Paper"/>
    <n v="176.75"/>
    <n v="5"/>
    <n v="-9.7100000000000009"/>
  </r>
  <r>
    <s v="ORD-1620"/>
    <s v="2025-04-14"/>
    <x v="2"/>
    <s v="Home Office"/>
    <x v="2"/>
    <s v="Accessories"/>
    <n v="127.34"/>
    <n v="6"/>
    <n v="36.590000000000003"/>
  </r>
  <r>
    <s v="ORD-1621"/>
    <s v="2025-04-14"/>
    <x v="0"/>
    <s v="Home Office"/>
    <x v="2"/>
    <s v="Accessories"/>
    <n v="108.46"/>
    <n v="1"/>
    <n v="42.9"/>
  </r>
  <r>
    <s v="ORD-1622"/>
    <s v="2025-04-14"/>
    <x v="1"/>
    <s v="Corporate"/>
    <x v="0"/>
    <s v="Chairs"/>
    <n v="531.54"/>
    <n v="4"/>
    <n v="-57.99"/>
  </r>
  <r>
    <s v="ORD-1623"/>
    <s v="2025-04-14"/>
    <x v="1"/>
    <s v="Corporate"/>
    <x v="0"/>
    <s v="Chairs"/>
    <n v="147.01"/>
    <n v="9"/>
    <n v="-0.88"/>
  </r>
  <r>
    <s v="ORD-1624"/>
    <s v="2025-04-15"/>
    <x v="0"/>
    <s v="Consumer"/>
    <x v="1"/>
    <s v="Storage"/>
    <n v="318.64"/>
    <n v="2"/>
    <n v="-2.17"/>
  </r>
  <r>
    <s v="ORD-1625"/>
    <s v="2025-04-15"/>
    <x v="2"/>
    <s v="Corporate"/>
    <x v="0"/>
    <s v="Bookcases"/>
    <n v="42.53"/>
    <n v="5"/>
    <n v="-0.18"/>
  </r>
  <r>
    <s v="ORD-1626"/>
    <s v="2025-04-15"/>
    <x v="3"/>
    <s v="Corporate"/>
    <x v="0"/>
    <s v="Bookcases"/>
    <n v="146.32"/>
    <n v="1"/>
    <n v="-13.07"/>
  </r>
  <r>
    <s v="ORD-1627"/>
    <s v="2025-04-15"/>
    <x v="0"/>
    <s v="Corporate"/>
    <x v="1"/>
    <s v="Storage"/>
    <n v="323.72000000000003"/>
    <n v="4"/>
    <n v="23.88"/>
  </r>
  <r>
    <s v="ORD-1628"/>
    <s v="2025-04-15"/>
    <x v="3"/>
    <s v="Consumer"/>
    <x v="2"/>
    <s v="Accessories"/>
    <n v="151.24"/>
    <n v="4"/>
    <n v="26.31"/>
  </r>
  <r>
    <s v="ORD-1629"/>
    <s v="2025-04-15"/>
    <x v="3"/>
    <s v="Corporate"/>
    <x v="2"/>
    <s v="Laptops"/>
    <n v="209.88"/>
    <n v="6"/>
    <n v="44.21"/>
  </r>
  <r>
    <s v="ORD-1630"/>
    <s v="2025-04-16"/>
    <x v="0"/>
    <s v="Home Office"/>
    <x v="1"/>
    <s v="Storage"/>
    <n v="89.79"/>
    <n v="9"/>
    <n v="16.899999999999999"/>
  </r>
  <r>
    <s v="ORD-1631"/>
    <s v="2025-04-16"/>
    <x v="1"/>
    <s v="Consumer"/>
    <x v="1"/>
    <s v="Paper"/>
    <n v="34.549999999999997"/>
    <n v="3"/>
    <n v="0.65"/>
  </r>
  <r>
    <s v="ORD-1632"/>
    <s v="2025-04-16"/>
    <x v="3"/>
    <s v="Home Office"/>
    <x v="0"/>
    <s v="Bookcases"/>
    <n v="111.85"/>
    <n v="9"/>
    <n v="-10.029999999999999"/>
  </r>
  <r>
    <s v="ORD-1633"/>
    <s v="2025-04-16"/>
    <x v="3"/>
    <s v="Corporate"/>
    <x v="0"/>
    <s v="Tables"/>
    <n v="95.25"/>
    <n v="6"/>
    <n v="-5.16"/>
  </r>
  <r>
    <s v="ORD-1634"/>
    <s v="2025-04-16"/>
    <x v="2"/>
    <s v="Home Office"/>
    <x v="2"/>
    <s v="Accessories"/>
    <n v="322.68"/>
    <n v="7"/>
    <n v="45.21"/>
  </r>
  <r>
    <s v="ORD-1635"/>
    <s v="2025-04-16"/>
    <x v="1"/>
    <s v="Consumer"/>
    <x v="0"/>
    <s v="Tables"/>
    <n v="61.96"/>
    <n v="2"/>
    <n v="8.0299999999999994"/>
  </r>
  <r>
    <s v="ORD-1636"/>
    <s v="2025-04-17"/>
    <x v="3"/>
    <s v="Consumer"/>
    <x v="0"/>
    <s v="Tables"/>
    <n v="530.48"/>
    <n v="6"/>
    <n v="-71.8"/>
  </r>
  <r>
    <s v="ORD-1637"/>
    <s v="2025-04-17"/>
    <x v="2"/>
    <s v="Home Office"/>
    <x v="2"/>
    <s v="Laptops"/>
    <n v="496.01"/>
    <n v="6"/>
    <n v="90.8"/>
  </r>
  <r>
    <s v="ORD-1638"/>
    <s v="2025-04-17"/>
    <x v="1"/>
    <s v="Consumer"/>
    <x v="2"/>
    <s v="Laptops"/>
    <n v="62.68"/>
    <n v="2"/>
    <n v="9.5399999999999991"/>
  </r>
  <r>
    <s v="ORD-1639"/>
    <s v="2025-04-17"/>
    <x v="0"/>
    <s v="Home Office"/>
    <x v="0"/>
    <s v="Bookcases"/>
    <n v="84.17"/>
    <n v="2"/>
    <n v="10.93"/>
  </r>
  <r>
    <s v="ORD-1640"/>
    <s v="2025-04-17"/>
    <x v="0"/>
    <s v="Consumer"/>
    <x v="2"/>
    <s v="Phones"/>
    <n v="358.87"/>
    <n v="2"/>
    <n v="109.56"/>
  </r>
  <r>
    <s v="ORD-1641"/>
    <s v="2025-04-17"/>
    <x v="2"/>
    <s v="Corporate"/>
    <x v="0"/>
    <s v="Bookcases"/>
    <n v="529.98"/>
    <n v="1"/>
    <n v="-76.14"/>
  </r>
  <r>
    <s v="ORD-1642"/>
    <s v="2025-04-18"/>
    <x v="0"/>
    <s v="Consumer"/>
    <x v="2"/>
    <s v="Accessories"/>
    <n v="107.9"/>
    <n v="5"/>
    <n v="38.909999999999997"/>
  </r>
  <r>
    <s v="ORD-1643"/>
    <s v="2025-04-18"/>
    <x v="3"/>
    <s v="Corporate"/>
    <x v="0"/>
    <s v="Bookcases"/>
    <n v="78.069999999999993"/>
    <n v="8"/>
    <n v="-2.34"/>
  </r>
  <r>
    <s v="ORD-1644"/>
    <s v="2025-04-18"/>
    <x v="1"/>
    <s v="Consumer"/>
    <x v="2"/>
    <s v="Accessories"/>
    <n v="132.01"/>
    <n v="2"/>
    <n v="36.4"/>
  </r>
  <r>
    <s v="ORD-1645"/>
    <s v="2025-04-18"/>
    <x v="3"/>
    <s v="Consumer"/>
    <x v="1"/>
    <s v="Storage"/>
    <n v="194.6"/>
    <n v="5"/>
    <n v="22.49"/>
  </r>
  <r>
    <s v="ORD-1646"/>
    <s v="2025-04-18"/>
    <x v="3"/>
    <s v="Consumer"/>
    <x v="0"/>
    <s v="Tables"/>
    <n v="67.92"/>
    <n v="8"/>
    <n v="-8.49"/>
  </r>
  <r>
    <s v="ORD-1647"/>
    <s v="2025-04-18"/>
    <x v="0"/>
    <s v="Consumer"/>
    <x v="1"/>
    <s v="Paper"/>
    <n v="220.04"/>
    <n v="5"/>
    <n v="40.44"/>
  </r>
  <r>
    <s v="ORD-1648"/>
    <s v="2025-04-19"/>
    <x v="3"/>
    <s v="Home Office"/>
    <x v="1"/>
    <s v="Paper"/>
    <n v="27.96"/>
    <n v="2"/>
    <n v="2.67"/>
  </r>
  <r>
    <s v="ORD-1649"/>
    <s v="2025-04-19"/>
    <x v="0"/>
    <s v="Home Office"/>
    <x v="0"/>
    <s v="Chairs"/>
    <n v="27.58"/>
    <n v="3"/>
    <n v="3.63"/>
  </r>
  <r>
    <s v="ORD-1650"/>
    <s v="2025-04-19"/>
    <x v="1"/>
    <s v="Consumer"/>
    <x v="2"/>
    <s v="Laptops"/>
    <n v="93.23"/>
    <n v="6"/>
    <n v="11.47"/>
  </r>
  <r>
    <s v="ORD-1651"/>
    <s v="2025-04-19"/>
    <x v="1"/>
    <s v="Corporate"/>
    <x v="0"/>
    <s v="Bookcases"/>
    <n v="85.42"/>
    <n v="5"/>
    <n v="8.85"/>
  </r>
  <r>
    <s v="ORD-1652"/>
    <s v="2025-04-19"/>
    <x v="3"/>
    <s v="Consumer"/>
    <x v="0"/>
    <s v="Chairs"/>
    <n v="76.89"/>
    <n v="4"/>
    <n v="-4.7"/>
  </r>
  <r>
    <s v="ORD-1653"/>
    <s v="2025-04-19"/>
    <x v="2"/>
    <s v="Corporate"/>
    <x v="1"/>
    <s v="Paper"/>
    <n v="121.3"/>
    <n v="4"/>
    <n v="21.82"/>
  </r>
  <r>
    <s v="ORD-1654"/>
    <s v="2025-04-20"/>
    <x v="0"/>
    <s v="Home Office"/>
    <x v="0"/>
    <s v="Bookcases"/>
    <n v="78.010000000000005"/>
    <n v="5"/>
    <n v="2.6"/>
  </r>
  <r>
    <s v="ORD-1655"/>
    <s v="2025-04-20"/>
    <x v="0"/>
    <s v="Home Office"/>
    <x v="2"/>
    <s v="Phones"/>
    <n v="52.03"/>
    <n v="2"/>
    <n v="9.73"/>
  </r>
  <r>
    <s v="ORD-1656"/>
    <s v="2025-04-20"/>
    <x v="3"/>
    <s v="Consumer"/>
    <x v="2"/>
    <s v="Laptops"/>
    <n v="75.540000000000006"/>
    <n v="9"/>
    <n v="25.41"/>
  </r>
  <r>
    <s v="ORD-1657"/>
    <s v="2025-04-20"/>
    <x v="0"/>
    <s v="Corporate"/>
    <x v="0"/>
    <s v="Chairs"/>
    <n v="572.76"/>
    <n v="2"/>
    <n v="-183.72"/>
  </r>
  <r>
    <s v="ORD-1658"/>
    <s v="2025-04-20"/>
    <x v="0"/>
    <s v="Consumer"/>
    <x v="1"/>
    <s v="Paper"/>
    <n v="99.43"/>
    <n v="2"/>
    <n v="7.76"/>
  </r>
  <r>
    <s v="ORD-1659"/>
    <s v="2025-04-20"/>
    <x v="2"/>
    <s v="Home Office"/>
    <x v="0"/>
    <s v="Bookcases"/>
    <n v="108.24"/>
    <n v="9"/>
    <n v="-15.41"/>
  </r>
  <r>
    <s v="ORD-1660"/>
    <s v="2025-04-21"/>
    <x v="2"/>
    <s v="Consumer"/>
    <x v="0"/>
    <s v="Chairs"/>
    <n v="148.9"/>
    <n v="3"/>
    <n v="-26.11"/>
  </r>
  <r>
    <s v="ORD-1661"/>
    <s v="2025-04-21"/>
    <x v="3"/>
    <s v="Corporate"/>
    <x v="1"/>
    <s v="Binders"/>
    <n v="634.22"/>
    <n v="7"/>
    <n v="81.5"/>
  </r>
  <r>
    <s v="ORD-1662"/>
    <s v="2025-04-21"/>
    <x v="2"/>
    <s v="Corporate"/>
    <x v="1"/>
    <s v="Binders"/>
    <n v="61.48"/>
    <n v="4"/>
    <n v="11.59"/>
  </r>
  <r>
    <s v="ORD-1663"/>
    <s v="2025-04-21"/>
    <x v="3"/>
    <s v="Corporate"/>
    <x v="2"/>
    <s v="Laptops"/>
    <n v="191.52"/>
    <n v="6"/>
    <n v="61.34"/>
  </r>
  <r>
    <s v="ORD-1664"/>
    <s v="2025-04-21"/>
    <x v="1"/>
    <s v="Consumer"/>
    <x v="2"/>
    <s v="Laptops"/>
    <n v="208.81"/>
    <n v="4"/>
    <n v="57.23"/>
  </r>
  <r>
    <s v="ORD-1665"/>
    <s v="2025-04-21"/>
    <x v="3"/>
    <s v="Home Office"/>
    <x v="2"/>
    <s v="Phones"/>
    <n v="160.22"/>
    <n v="7"/>
    <n v="29.39"/>
  </r>
  <r>
    <s v="ORD-1666"/>
    <s v="2025-04-22"/>
    <x v="1"/>
    <s v="Consumer"/>
    <x v="2"/>
    <s v="Accessories"/>
    <n v="33.909999999999997"/>
    <n v="1"/>
    <n v="9.73"/>
  </r>
  <r>
    <s v="ORD-1667"/>
    <s v="2025-04-22"/>
    <x v="3"/>
    <s v="Corporate"/>
    <x v="2"/>
    <s v="Phones"/>
    <n v="189.46"/>
    <n v="3"/>
    <n v="49.72"/>
  </r>
  <r>
    <s v="ORD-1668"/>
    <s v="2025-04-22"/>
    <x v="0"/>
    <s v="Consumer"/>
    <x v="2"/>
    <s v="Phones"/>
    <n v="29.94"/>
    <n v="3"/>
    <n v="10.29"/>
  </r>
  <r>
    <s v="ORD-1669"/>
    <s v="2025-04-22"/>
    <x v="2"/>
    <s v="Consumer"/>
    <x v="2"/>
    <s v="Phones"/>
    <n v="156"/>
    <n v="1"/>
    <n v="51.12"/>
  </r>
  <r>
    <s v="ORD-1670"/>
    <s v="2025-04-22"/>
    <x v="1"/>
    <s v="Corporate"/>
    <x v="2"/>
    <s v="Accessories"/>
    <n v="221.82"/>
    <n v="6"/>
    <n v="56.13"/>
  </r>
  <r>
    <s v="ORD-1671"/>
    <s v="2025-04-22"/>
    <x v="3"/>
    <s v="Consumer"/>
    <x v="1"/>
    <s v="Binders"/>
    <n v="55.54"/>
    <n v="9"/>
    <n v="3.35"/>
  </r>
  <r>
    <s v="ORD-1672"/>
    <s v="2025-04-23"/>
    <x v="2"/>
    <s v="Consumer"/>
    <x v="2"/>
    <s v="Laptops"/>
    <n v="296.42"/>
    <n v="8"/>
    <n v="54.75"/>
  </r>
  <r>
    <s v="ORD-1673"/>
    <s v="2025-04-23"/>
    <x v="3"/>
    <s v="Consumer"/>
    <x v="0"/>
    <s v="Bookcases"/>
    <n v="24.62"/>
    <n v="7"/>
    <n v="-2.58"/>
  </r>
  <r>
    <s v="ORD-1674"/>
    <s v="2025-04-23"/>
    <x v="2"/>
    <s v="Consumer"/>
    <x v="0"/>
    <s v="Tables"/>
    <n v="298.51"/>
    <n v="8"/>
    <n v="-24.34"/>
  </r>
  <r>
    <s v="ORD-1675"/>
    <s v="2025-04-23"/>
    <x v="2"/>
    <s v="Corporate"/>
    <x v="1"/>
    <s v="Binders"/>
    <n v="112.52"/>
    <n v="6"/>
    <n v="19.89"/>
  </r>
  <r>
    <s v="ORD-1676"/>
    <s v="2025-04-23"/>
    <x v="3"/>
    <s v="Home Office"/>
    <x v="2"/>
    <s v="Accessories"/>
    <n v="56.81"/>
    <n v="9"/>
    <n v="18.27"/>
  </r>
  <r>
    <s v="ORD-1677"/>
    <s v="2025-04-23"/>
    <x v="1"/>
    <s v="Consumer"/>
    <x v="0"/>
    <s v="Bookcases"/>
    <n v="41.54"/>
    <n v="3"/>
    <n v="-2.29"/>
  </r>
  <r>
    <s v="ORD-1678"/>
    <s v="2025-04-24"/>
    <x v="1"/>
    <s v="Consumer"/>
    <x v="1"/>
    <s v="Binders"/>
    <n v="479.62"/>
    <n v="9"/>
    <n v="72.72"/>
  </r>
  <r>
    <s v="ORD-1679"/>
    <s v="2025-04-24"/>
    <x v="0"/>
    <s v="Consumer"/>
    <x v="1"/>
    <s v="Storage"/>
    <n v="31.32"/>
    <n v="4"/>
    <n v="5.15"/>
  </r>
  <r>
    <s v="ORD-1680"/>
    <s v="2025-04-24"/>
    <x v="2"/>
    <s v="Consumer"/>
    <x v="1"/>
    <s v="Paper"/>
    <n v="53.3"/>
    <n v="7"/>
    <n v="5.25"/>
  </r>
  <r>
    <s v="ORD-1681"/>
    <s v="2025-04-24"/>
    <x v="0"/>
    <s v="Corporate"/>
    <x v="2"/>
    <s v="Phones"/>
    <n v="84.12"/>
    <n v="9"/>
    <n v="13.25"/>
  </r>
  <r>
    <s v="ORD-1682"/>
    <s v="2025-04-24"/>
    <x v="0"/>
    <s v="Corporate"/>
    <x v="2"/>
    <s v="Phones"/>
    <n v="165.23"/>
    <n v="2"/>
    <n v="12.3"/>
  </r>
  <r>
    <s v="ORD-1683"/>
    <s v="2025-04-24"/>
    <x v="3"/>
    <s v="Consumer"/>
    <x v="1"/>
    <s v="Storage"/>
    <n v="138.05000000000001"/>
    <n v="2"/>
    <n v="11.11"/>
  </r>
  <r>
    <s v="ORD-1684"/>
    <s v="2025-04-25"/>
    <x v="3"/>
    <s v="Consumer"/>
    <x v="1"/>
    <s v="Paper"/>
    <n v="40.14"/>
    <n v="9"/>
    <n v="7.92"/>
  </r>
  <r>
    <s v="ORD-1685"/>
    <s v="2025-04-25"/>
    <x v="3"/>
    <s v="Consumer"/>
    <x v="0"/>
    <s v="Tables"/>
    <n v="71.319999999999993"/>
    <n v="3"/>
    <n v="-8.58"/>
  </r>
  <r>
    <s v="ORD-1686"/>
    <s v="2025-04-25"/>
    <x v="2"/>
    <s v="Home Office"/>
    <x v="0"/>
    <s v="Bookcases"/>
    <n v="60.92"/>
    <n v="9"/>
    <n v="-4.49"/>
  </r>
  <r>
    <s v="ORD-1687"/>
    <s v="2025-04-25"/>
    <x v="3"/>
    <s v="Home Office"/>
    <x v="2"/>
    <s v="Phones"/>
    <n v="56.03"/>
    <n v="5"/>
    <n v="16.62"/>
  </r>
  <r>
    <s v="ORD-1688"/>
    <s v="2025-04-25"/>
    <x v="3"/>
    <s v="Consumer"/>
    <x v="1"/>
    <s v="Binders"/>
    <n v="99.44"/>
    <n v="6"/>
    <n v="20.09"/>
  </r>
  <r>
    <s v="ORD-1689"/>
    <s v="2025-04-25"/>
    <x v="2"/>
    <s v="Consumer"/>
    <x v="2"/>
    <s v="Phones"/>
    <n v="202.63"/>
    <n v="2"/>
    <n v="28.78"/>
  </r>
  <r>
    <s v="ORD-1690"/>
    <s v="2025-04-26"/>
    <x v="2"/>
    <s v="Home Office"/>
    <x v="0"/>
    <s v="Tables"/>
    <n v="56.78"/>
    <n v="8"/>
    <n v="2.82"/>
  </r>
  <r>
    <s v="ORD-1691"/>
    <s v="2025-04-26"/>
    <x v="1"/>
    <s v="Home Office"/>
    <x v="0"/>
    <s v="Tables"/>
    <n v="88.52"/>
    <n v="9"/>
    <n v="5.55"/>
  </r>
  <r>
    <s v="ORD-1692"/>
    <s v="2025-04-26"/>
    <x v="3"/>
    <s v="Consumer"/>
    <x v="0"/>
    <s v="Tables"/>
    <n v="94.37"/>
    <n v="2"/>
    <n v="-15.38"/>
  </r>
  <r>
    <s v="ORD-1693"/>
    <s v="2025-04-26"/>
    <x v="3"/>
    <s v="Consumer"/>
    <x v="2"/>
    <s v="Phones"/>
    <n v="582.34"/>
    <n v="6"/>
    <n v="97.61"/>
  </r>
  <r>
    <s v="ORD-1694"/>
    <s v="2025-04-26"/>
    <x v="3"/>
    <s v="Consumer"/>
    <x v="2"/>
    <s v="Accessories"/>
    <n v="484.06"/>
    <n v="6"/>
    <n v="178.67"/>
  </r>
  <r>
    <s v="ORD-1695"/>
    <s v="2025-04-26"/>
    <x v="1"/>
    <s v="Corporate"/>
    <x v="1"/>
    <s v="Storage"/>
    <n v="261.52"/>
    <n v="8"/>
    <n v="35.39"/>
  </r>
  <r>
    <s v="ORD-1696"/>
    <s v="2025-04-27"/>
    <x v="3"/>
    <s v="Consumer"/>
    <x v="2"/>
    <s v="Laptops"/>
    <n v="61.49"/>
    <n v="5"/>
    <n v="1.72"/>
  </r>
  <r>
    <s v="ORD-1697"/>
    <s v="2025-04-27"/>
    <x v="1"/>
    <s v="Consumer"/>
    <x v="0"/>
    <s v="Chairs"/>
    <n v="30.57"/>
    <n v="9"/>
    <n v="-5.81"/>
  </r>
  <r>
    <s v="ORD-1698"/>
    <s v="2025-04-27"/>
    <x v="0"/>
    <s v="Corporate"/>
    <x v="2"/>
    <s v="Laptops"/>
    <n v="77.17"/>
    <n v="1"/>
    <n v="17.37"/>
  </r>
  <r>
    <s v="ORD-1699"/>
    <s v="2025-04-27"/>
    <x v="1"/>
    <s v="Consumer"/>
    <x v="0"/>
    <s v="Chairs"/>
    <n v="66.55"/>
    <n v="9"/>
    <n v="-11.07"/>
  </r>
  <r>
    <s v="ORD-1700"/>
    <s v="2025-04-27"/>
    <x v="0"/>
    <s v="Corporate"/>
    <x v="0"/>
    <s v="Bookcases"/>
    <n v="125.76"/>
    <n v="7"/>
    <n v="-11.49"/>
  </r>
  <r>
    <s v="ORD-1701"/>
    <s v="2025-04-27"/>
    <x v="3"/>
    <s v="Consumer"/>
    <x v="2"/>
    <s v="Accessories"/>
    <n v="245.58"/>
    <n v="4"/>
    <n v="62.19"/>
  </r>
  <r>
    <s v="ORD-1702"/>
    <s v="2025-04-28"/>
    <x v="0"/>
    <s v="Consumer"/>
    <x v="0"/>
    <s v="Bookcases"/>
    <n v="313.13"/>
    <n v="3"/>
    <n v="30.13"/>
  </r>
  <r>
    <s v="ORD-1703"/>
    <s v="2025-04-28"/>
    <x v="1"/>
    <s v="Corporate"/>
    <x v="2"/>
    <s v="Accessories"/>
    <n v="299.52"/>
    <n v="6"/>
    <n v="66.180000000000007"/>
  </r>
  <r>
    <s v="ORD-1704"/>
    <s v="2025-04-28"/>
    <x v="2"/>
    <s v="Consumer"/>
    <x v="2"/>
    <s v="Accessories"/>
    <n v="86.87"/>
    <n v="1"/>
    <n v="31.03"/>
  </r>
  <r>
    <s v="ORD-1705"/>
    <s v="2025-04-28"/>
    <x v="0"/>
    <s v="Home Office"/>
    <x v="1"/>
    <s v="Binders"/>
    <n v="194.35"/>
    <n v="3"/>
    <n v="56.92"/>
  </r>
  <r>
    <s v="ORD-1706"/>
    <s v="2025-04-28"/>
    <x v="0"/>
    <s v="Corporate"/>
    <x v="0"/>
    <s v="Chairs"/>
    <n v="76.28"/>
    <n v="2"/>
    <n v="7.13"/>
  </r>
  <r>
    <s v="ORD-1707"/>
    <s v="2025-04-28"/>
    <x v="3"/>
    <s v="Consumer"/>
    <x v="1"/>
    <s v="Storage"/>
    <n v="29.43"/>
    <n v="9"/>
    <n v="5.25"/>
  </r>
  <r>
    <s v="ORD-1708"/>
    <s v="2025-04-29"/>
    <x v="1"/>
    <s v="Corporate"/>
    <x v="2"/>
    <s v="Phones"/>
    <n v="201.38"/>
    <n v="3"/>
    <n v="10.81"/>
  </r>
  <r>
    <s v="ORD-1709"/>
    <s v="2025-04-29"/>
    <x v="0"/>
    <s v="Consumer"/>
    <x v="1"/>
    <s v="Storage"/>
    <n v="21.48"/>
    <n v="2"/>
    <n v="4.21"/>
  </r>
  <r>
    <s v="ORD-1710"/>
    <s v="2025-04-29"/>
    <x v="0"/>
    <s v="Home Office"/>
    <x v="1"/>
    <s v="Storage"/>
    <n v="98.94"/>
    <n v="4"/>
    <n v="25.21"/>
  </r>
  <r>
    <s v="ORD-1711"/>
    <s v="2025-04-29"/>
    <x v="0"/>
    <s v="Consumer"/>
    <x v="0"/>
    <s v="Tables"/>
    <n v="79.930000000000007"/>
    <n v="2"/>
    <n v="-4.6399999999999997"/>
  </r>
  <r>
    <s v="ORD-1712"/>
    <s v="2025-04-29"/>
    <x v="0"/>
    <s v="Corporate"/>
    <x v="0"/>
    <s v="Chairs"/>
    <n v="197.32"/>
    <n v="1"/>
    <n v="24.56"/>
  </r>
  <r>
    <s v="ORD-1713"/>
    <s v="2025-04-29"/>
    <x v="2"/>
    <s v="Consumer"/>
    <x v="0"/>
    <s v="Tables"/>
    <n v="238.02"/>
    <n v="6"/>
    <n v="8.56"/>
  </r>
  <r>
    <s v="ORD-1714"/>
    <s v="2025-04-30"/>
    <x v="1"/>
    <s v="Consumer"/>
    <x v="0"/>
    <s v="Tables"/>
    <n v="74.38"/>
    <n v="8"/>
    <n v="0.51"/>
  </r>
  <r>
    <s v="ORD-1715"/>
    <s v="2025-04-30"/>
    <x v="3"/>
    <s v="Home Office"/>
    <x v="1"/>
    <s v="Paper"/>
    <n v="270.39999999999998"/>
    <n v="2"/>
    <n v="69.94"/>
  </r>
  <r>
    <s v="ORD-1716"/>
    <s v="2025-04-30"/>
    <x v="3"/>
    <s v="Home Office"/>
    <x v="1"/>
    <s v="Binders"/>
    <n v="72.2"/>
    <n v="9"/>
    <n v="13.24"/>
  </r>
  <r>
    <s v="ORD-1717"/>
    <s v="2025-04-30"/>
    <x v="2"/>
    <s v="Consumer"/>
    <x v="1"/>
    <s v="Binders"/>
    <n v="108.68"/>
    <n v="3"/>
    <n v="-10.79"/>
  </r>
  <r>
    <s v="ORD-1718"/>
    <s v="2025-04-30"/>
    <x v="1"/>
    <s v="Consumer"/>
    <x v="2"/>
    <s v="Accessories"/>
    <n v="214.75"/>
    <n v="8"/>
    <n v="42.97"/>
  </r>
  <r>
    <s v="ORD-1719"/>
    <s v="2025-04-30"/>
    <x v="0"/>
    <s v="Home Office"/>
    <x v="1"/>
    <s v="Binders"/>
    <n v="197.1"/>
    <n v="8"/>
    <n v="53.16"/>
  </r>
  <r>
    <s v="ORD-1720"/>
    <s v="2025-05-01"/>
    <x v="2"/>
    <s v="Home Office"/>
    <x v="1"/>
    <s v="Storage"/>
    <n v="675.73"/>
    <n v="3"/>
    <n v="46.79"/>
  </r>
  <r>
    <s v="ORD-1721"/>
    <s v="2025-05-01"/>
    <x v="1"/>
    <s v="Consumer"/>
    <x v="2"/>
    <s v="Phones"/>
    <n v="58.27"/>
    <n v="3"/>
    <n v="13.27"/>
  </r>
  <r>
    <s v="ORD-1722"/>
    <s v="2025-05-01"/>
    <x v="0"/>
    <s v="Consumer"/>
    <x v="2"/>
    <s v="Accessories"/>
    <n v="182.85"/>
    <n v="6"/>
    <n v="26.61"/>
  </r>
  <r>
    <s v="ORD-1723"/>
    <s v="2025-05-01"/>
    <x v="2"/>
    <s v="Consumer"/>
    <x v="1"/>
    <s v="Storage"/>
    <n v="161.12"/>
    <n v="1"/>
    <n v="52.91"/>
  </r>
  <r>
    <s v="ORD-1724"/>
    <s v="2025-05-01"/>
    <x v="1"/>
    <s v="Home Office"/>
    <x v="0"/>
    <s v="Tables"/>
    <n v="389.94"/>
    <n v="4"/>
    <n v="46.07"/>
  </r>
  <r>
    <s v="ORD-1725"/>
    <s v="2025-05-01"/>
    <x v="3"/>
    <s v="Consumer"/>
    <x v="1"/>
    <s v="Paper"/>
    <n v="45.5"/>
    <n v="1"/>
    <n v="2.8"/>
  </r>
  <r>
    <s v="ORD-1726"/>
    <s v="2025-05-02"/>
    <x v="3"/>
    <s v="Consumer"/>
    <x v="2"/>
    <s v="Phones"/>
    <n v="229.03"/>
    <n v="3"/>
    <n v="60.63"/>
  </r>
  <r>
    <s v="ORD-1727"/>
    <s v="2025-05-02"/>
    <x v="1"/>
    <s v="Corporate"/>
    <x v="1"/>
    <s v="Binders"/>
    <n v="145.99"/>
    <n v="9"/>
    <n v="11.96"/>
  </r>
  <r>
    <s v="ORD-1728"/>
    <s v="2025-05-02"/>
    <x v="3"/>
    <s v="Consumer"/>
    <x v="2"/>
    <s v="Phones"/>
    <n v="68.17"/>
    <n v="5"/>
    <n v="21.23"/>
  </r>
  <r>
    <s v="ORD-1729"/>
    <s v="2025-05-02"/>
    <x v="1"/>
    <s v="Consumer"/>
    <x v="2"/>
    <s v="Phones"/>
    <n v="116.49"/>
    <n v="5"/>
    <n v="35.06"/>
  </r>
  <r>
    <s v="ORD-1730"/>
    <s v="2025-05-02"/>
    <x v="0"/>
    <s v="Consumer"/>
    <x v="2"/>
    <s v="Accessories"/>
    <n v="80.92"/>
    <n v="4"/>
    <n v="26.8"/>
  </r>
  <r>
    <s v="ORD-1731"/>
    <s v="2025-05-02"/>
    <x v="1"/>
    <s v="Consumer"/>
    <x v="1"/>
    <s v="Paper"/>
    <n v="149.88"/>
    <n v="3"/>
    <n v="27.46"/>
  </r>
  <r>
    <s v="ORD-1732"/>
    <s v="2025-05-03"/>
    <x v="0"/>
    <s v="Consumer"/>
    <x v="1"/>
    <s v="Paper"/>
    <n v="349.73"/>
    <n v="5"/>
    <n v="155.12"/>
  </r>
  <r>
    <s v="ORD-1733"/>
    <s v="2025-05-03"/>
    <x v="2"/>
    <s v="Corporate"/>
    <x v="0"/>
    <s v="Tables"/>
    <n v="146.35"/>
    <n v="4"/>
    <n v="-22.36"/>
  </r>
  <r>
    <s v="ORD-1734"/>
    <s v="2025-05-03"/>
    <x v="1"/>
    <s v="Consumer"/>
    <x v="0"/>
    <s v="Bookcases"/>
    <n v="169.84"/>
    <n v="8"/>
    <n v="-37.54"/>
  </r>
  <r>
    <s v="ORD-1735"/>
    <s v="2025-05-03"/>
    <x v="2"/>
    <s v="Corporate"/>
    <x v="1"/>
    <s v="Binders"/>
    <n v="129.69999999999999"/>
    <n v="4"/>
    <n v="14.36"/>
  </r>
  <r>
    <s v="ORD-1736"/>
    <s v="2025-05-03"/>
    <x v="3"/>
    <s v="Home Office"/>
    <x v="0"/>
    <s v="Bookcases"/>
    <n v="27.88"/>
    <n v="8"/>
    <n v="-5.77"/>
  </r>
  <r>
    <s v="ORD-1737"/>
    <s v="2025-05-03"/>
    <x v="0"/>
    <s v="Corporate"/>
    <x v="1"/>
    <s v="Paper"/>
    <n v="59.76"/>
    <n v="6"/>
    <n v="0.05"/>
  </r>
  <r>
    <s v="ORD-1738"/>
    <s v="2025-05-04"/>
    <x v="1"/>
    <s v="Consumer"/>
    <x v="0"/>
    <s v="Tables"/>
    <n v="121.59"/>
    <n v="5"/>
    <n v="-18.25"/>
  </r>
  <r>
    <s v="ORD-1739"/>
    <s v="2025-05-04"/>
    <x v="2"/>
    <s v="Consumer"/>
    <x v="0"/>
    <s v="Tables"/>
    <n v="75.709999999999994"/>
    <n v="4"/>
    <n v="-10.77"/>
  </r>
  <r>
    <s v="ORD-1740"/>
    <s v="2025-05-04"/>
    <x v="0"/>
    <s v="Consumer"/>
    <x v="0"/>
    <s v="Bookcases"/>
    <n v="50.09"/>
    <n v="4"/>
    <n v="-7.29"/>
  </r>
  <r>
    <s v="ORD-1741"/>
    <s v="2025-05-04"/>
    <x v="0"/>
    <s v="Consumer"/>
    <x v="0"/>
    <s v="Tables"/>
    <n v="125.22"/>
    <n v="4"/>
    <n v="0.23"/>
  </r>
  <r>
    <s v="ORD-1742"/>
    <s v="2025-05-04"/>
    <x v="3"/>
    <s v="Consumer"/>
    <x v="1"/>
    <s v="Storage"/>
    <n v="78.47"/>
    <n v="9"/>
    <n v="7.8"/>
  </r>
  <r>
    <s v="ORD-1743"/>
    <s v="2025-05-04"/>
    <x v="3"/>
    <s v="Corporate"/>
    <x v="0"/>
    <s v="Chairs"/>
    <n v="64.78"/>
    <n v="4"/>
    <n v="-4.4000000000000004"/>
  </r>
  <r>
    <s v="ORD-1744"/>
    <s v="2025-05-05"/>
    <x v="0"/>
    <s v="Consumer"/>
    <x v="2"/>
    <s v="Accessories"/>
    <n v="113.54"/>
    <n v="9"/>
    <n v="38.54"/>
  </r>
  <r>
    <s v="ORD-1745"/>
    <s v="2025-05-05"/>
    <x v="0"/>
    <s v="Consumer"/>
    <x v="1"/>
    <s v="Storage"/>
    <n v="41.46"/>
    <n v="6"/>
    <n v="3.04"/>
  </r>
  <r>
    <s v="ORD-1746"/>
    <s v="2025-05-05"/>
    <x v="1"/>
    <s v="Consumer"/>
    <x v="0"/>
    <s v="Chairs"/>
    <n v="414.13"/>
    <n v="7"/>
    <n v="-31.66"/>
  </r>
  <r>
    <s v="ORD-1747"/>
    <s v="2025-05-05"/>
    <x v="0"/>
    <s v="Corporate"/>
    <x v="0"/>
    <s v="Bookcases"/>
    <n v="323.39999999999998"/>
    <n v="3"/>
    <n v="-4.34"/>
  </r>
  <r>
    <s v="ORD-1748"/>
    <s v="2025-05-05"/>
    <x v="1"/>
    <s v="Consumer"/>
    <x v="1"/>
    <s v="Paper"/>
    <n v="204.46"/>
    <n v="8"/>
    <n v="-9.0299999999999994"/>
  </r>
  <r>
    <s v="ORD-1749"/>
    <s v="2025-05-05"/>
    <x v="0"/>
    <s v="Corporate"/>
    <x v="1"/>
    <s v="Paper"/>
    <n v="36.840000000000003"/>
    <n v="3"/>
    <n v="-3.26"/>
  </r>
  <r>
    <s v="ORD-1750"/>
    <s v="2025-05-06"/>
    <x v="3"/>
    <s v="Consumer"/>
    <x v="2"/>
    <s v="Laptops"/>
    <n v="244.33"/>
    <n v="1"/>
    <n v="69.540000000000006"/>
  </r>
  <r>
    <s v="ORD-1751"/>
    <s v="2025-05-06"/>
    <x v="1"/>
    <s v="Home Office"/>
    <x v="1"/>
    <s v="Storage"/>
    <n v="267.51"/>
    <n v="5"/>
    <n v="53.29"/>
  </r>
  <r>
    <s v="ORD-1752"/>
    <s v="2025-05-06"/>
    <x v="2"/>
    <s v="Home Office"/>
    <x v="1"/>
    <s v="Storage"/>
    <n v="239"/>
    <n v="2"/>
    <n v="85.18"/>
  </r>
  <r>
    <s v="ORD-1753"/>
    <s v="2025-05-06"/>
    <x v="3"/>
    <s v="Consumer"/>
    <x v="0"/>
    <s v="Tables"/>
    <n v="38.15"/>
    <n v="6"/>
    <n v="-1.3"/>
  </r>
  <r>
    <s v="ORD-1754"/>
    <s v="2025-05-06"/>
    <x v="1"/>
    <s v="Consumer"/>
    <x v="2"/>
    <s v="Phones"/>
    <n v="174.88"/>
    <n v="9"/>
    <n v="58.06"/>
  </r>
  <r>
    <s v="ORD-1755"/>
    <s v="2025-05-06"/>
    <x v="1"/>
    <s v="Consumer"/>
    <x v="1"/>
    <s v="Binders"/>
    <n v="289.66000000000003"/>
    <n v="1"/>
    <n v="37.79"/>
  </r>
  <r>
    <s v="ORD-1756"/>
    <s v="2025-05-07"/>
    <x v="2"/>
    <s v="Consumer"/>
    <x v="1"/>
    <s v="Binders"/>
    <n v="149.18"/>
    <n v="4"/>
    <n v="26.81"/>
  </r>
  <r>
    <s v="ORD-1757"/>
    <s v="2025-05-07"/>
    <x v="1"/>
    <s v="Corporate"/>
    <x v="0"/>
    <s v="Tables"/>
    <n v="175.94"/>
    <n v="1"/>
    <n v="20.54"/>
  </r>
  <r>
    <s v="ORD-1758"/>
    <s v="2025-05-07"/>
    <x v="0"/>
    <s v="Home Office"/>
    <x v="1"/>
    <s v="Binders"/>
    <n v="111.97"/>
    <n v="1"/>
    <n v="-6.99"/>
  </r>
  <r>
    <s v="ORD-1759"/>
    <s v="2025-05-07"/>
    <x v="2"/>
    <s v="Corporate"/>
    <x v="1"/>
    <s v="Binders"/>
    <n v="132.84"/>
    <n v="8"/>
    <n v="25.42"/>
  </r>
  <r>
    <s v="ORD-1760"/>
    <s v="2025-05-07"/>
    <x v="3"/>
    <s v="Home Office"/>
    <x v="2"/>
    <s v="Accessories"/>
    <n v="25.25"/>
    <n v="2"/>
    <n v="11.7"/>
  </r>
  <r>
    <s v="ORD-1761"/>
    <s v="2025-05-07"/>
    <x v="3"/>
    <s v="Consumer"/>
    <x v="0"/>
    <s v="Bookcases"/>
    <n v="172.82"/>
    <n v="1"/>
    <n v="-3.77"/>
  </r>
  <r>
    <s v="ORD-1762"/>
    <s v="2025-05-08"/>
    <x v="0"/>
    <s v="Consumer"/>
    <x v="2"/>
    <s v="Laptops"/>
    <n v="32.74"/>
    <n v="8"/>
    <n v="13.59"/>
  </r>
  <r>
    <s v="ORD-1763"/>
    <s v="2025-05-08"/>
    <x v="3"/>
    <s v="Corporate"/>
    <x v="1"/>
    <s v="Binders"/>
    <n v="105.64"/>
    <n v="4"/>
    <n v="9.1999999999999993"/>
  </r>
  <r>
    <s v="ORD-1764"/>
    <s v="2025-05-08"/>
    <x v="1"/>
    <s v="Consumer"/>
    <x v="2"/>
    <s v="Phones"/>
    <n v="71.94"/>
    <n v="3"/>
    <n v="17.75"/>
  </r>
  <r>
    <s v="ORD-1765"/>
    <s v="2025-05-08"/>
    <x v="1"/>
    <s v="Corporate"/>
    <x v="0"/>
    <s v="Tables"/>
    <n v="138.26"/>
    <n v="4"/>
    <n v="-6.45"/>
  </r>
  <r>
    <s v="ORD-1766"/>
    <s v="2025-05-08"/>
    <x v="0"/>
    <s v="Consumer"/>
    <x v="1"/>
    <s v="Paper"/>
    <n v="41.48"/>
    <n v="5"/>
    <n v="-2.98"/>
  </r>
  <r>
    <s v="ORD-1767"/>
    <s v="2025-05-08"/>
    <x v="3"/>
    <s v="Consumer"/>
    <x v="1"/>
    <s v="Paper"/>
    <n v="196.47"/>
    <n v="1"/>
    <n v="6.52"/>
  </r>
  <r>
    <s v="ORD-1768"/>
    <s v="2025-05-09"/>
    <x v="3"/>
    <s v="Home Office"/>
    <x v="0"/>
    <s v="Chairs"/>
    <n v="257.72000000000003"/>
    <n v="1"/>
    <n v="-41.15"/>
  </r>
  <r>
    <s v="ORD-1769"/>
    <s v="2025-05-09"/>
    <x v="0"/>
    <s v="Consumer"/>
    <x v="1"/>
    <s v="Storage"/>
    <n v="46.75"/>
    <n v="3"/>
    <n v="10.86"/>
  </r>
  <r>
    <s v="ORD-1770"/>
    <s v="2025-05-09"/>
    <x v="2"/>
    <s v="Home Office"/>
    <x v="2"/>
    <s v="Accessories"/>
    <n v="36.520000000000003"/>
    <n v="6"/>
    <n v="12.32"/>
  </r>
  <r>
    <s v="ORD-1771"/>
    <s v="2025-05-09"/>
    <x v="3"/>
    <s v="Home Office"/>
    <x v="1"/>
    <s v="Storage"/>
    <n v="43.59"/>
    <n v="1"/>
    <n v="7.95"/>
  </r>
  <r>
    <s v="ORD-1772"/>
    <s v="2025-05-09"/>
    <x v="2"/>
    <s v="Corporate"/>
    <x v="2"/>
    <s v="Accessories"/>
    <n v="334.49"/>
    <n v="2"/>
    <n v="111.19"/>
  </r>
  <r>
    <s v="ORD-1773"/>
    <s v="2025-05-09"/>
    <x v="3"/>
    <s v="Corporate"/>
    <x v="0"/>
    <s v="Chairs"/>
    <n v="132.68"/>
    <n v="7"/>
    <n v="-8.81"/>
  </r>
  <r>
    <s v="ORD-1774"/>
    <s v="2025-05-10"/>
    <x v="3"/>
    <s v="Corporate"/>
    <x v="1"/>
    <s v="Binders"/>
    <n v="114.46"/>
    <n v="1"/>
    <n v="30.93"/>
  </r>
  <r>
    <s v="ORD-1775"/>
    <s v="2025-05-10"/>
    <x v="3"/>
    <s v="Home Office"/>
    <x v="2"/>
    <s v="Laptops"/>
    <n v="36.93"/>
    <n v="7"/>
    <n v="9.26"/>
  </r>
  <r>
    <s v="ORD-1776"/>
    <s v="2025-05-10"/>
    <x v="3"/>
    <s v="Consumer"/>
    <x v="2"/>
    <s v="Accessories"/>
    <n v="177.28"/>
    <n v="4"/>
    <n v="45.35"/>
  </r>
  <r>
    <s v="ORD-1777"/>
    <s v="2025-05-10"/>
    <x v="1"/>
    <s v="Consumer"/>
    <x v="1"/>
    <s v="Storage"/>
    <n v="323.74"/>
    <n v="6"/>
    <n v="39.96"/>
  </r>
  <r>
    <s v="ORD-1778"/>
    <s v="2025-05-10"/>
    <x v="2"/>
    <s v="Corporate"/>
    <x v="1"/>
    <s v="Storage"/>
    <n v="284.2"/>
    <n v="8"/>
    <n v="62.08"/>
  </r>
  <r>
    <s v="ORD-1779"/>
    <s v="2025-05-10"/>
    <x v="2"/>
    <s v="Consumer"/>
    <x v="1"/>
    <s v="Binders"/>
    <n v="167.55"/>
    <n v="9"/>
    <n v="18.079999999999998"/>
  </r>
  <r>
    <s v="ORD-1780"/>
    <s v="2025-05-11"/>
    <x v="3"/>
    <s v="Consumer"/>
    <x v="1"/>
    <s v="Binders"/>
    <n v="31.74"/>
    <n v="6"/>
    <n v="7.86"/>
  </r>
  <r>
    <s v="ORD-1781"/>
    <s v="2025-05-11"/>
    <x v="3"/>
    <s v="Consumer"/>
    <x v="0"/>
    <s v="Chairs"/>
    <n v="37.880000000000003"/>
    <n v="9"/>
    <n v="-6.18"/>
  </r>
  <r>
    <s v="ORD-1782"/>
    <s v="2025-05-11"/>
    <x v="2"/>
    <s v="Corporate"/>
    <x v="2"/>
    <s v="Phones"/>
    <n v="27.58"/>
    <n v="4"/>
    <n v="3.86"/>
  </r>
  <r>
    <s v="ORD-1783"/>
    <s v="2025-05-11"/>
    <x v="1"/>
    <s v="Home Office"/>
    <x v="0"/>
    <s v="Chairs"/>
    <n v="64.66"/>
    <n v="6"/>
    <n v="1.21"/>
  </r>
  <r>
    <s v="ORD-1784"/>
    <s v="2025-05-11"/>
    <x v="0"/>
    <s v="Consumer"/>
    <x v="2"/>
    <s v="Phones"/>
    <n v="41.87"/>
    <n v="8"/>
    <n v="10.1"/>
  </r>
  <r>
    <s v="ORD-1785"/>
    <s v="2025-05-11"/>
    <x v="0"/>
    <s v="Home Office"/>
    <x v="1"/>
    <s v="Storage"/>
    <n v="65.180000000000007"/>
    <n v="9"/>
    <n v="6.82"/>
  </r>
  <r>
    <s v="ORD-1786"/>
    <s v="2025-05-12"/>
    <x v="2"/>
    <s v="Corporate"/>
    <x v="0"/>
    <s v="Chairs"/>
    <n v="92.93"/>
    <n v="3"/>
    <n v="3.62"/>
  </r>
  <r>
    <s v="ORD-1787"/>
    <s v="2025-05-12"/>
    <x v="3"/>
    <s v="Home Office"/>
    <x v="0"/>
    <s v="Tables"/>
    <n v="449.66"/>
    <n v="2"/>
    <n v="-49.79"/>
  </r>
  <r>
    <s v="ORD-1788"/>
    <s v="2025-05-12"/>
    <x v="3"/>
    <s v="Corporate"/>
    <x v="0"/>
    <s v="Chairs"/>
    <n v="161.38999999999999"/>
    <n v="6"/>
    <n v="-11.3"/>
  </r>
  <r>
    <s v="ORD-1789"/>
    <s v="2025-05-12"/>
    <x v="1"/>
    <s v="Corporate"/>
    <x v="1"/>
    <s v="Binders"/>
    <n v="290.25"/>
    <n v="4"/>
    <n v="84.15"/>
  </r>
  <r>
    <s v="ORD-1790"/>
    <s v="2025-05-12"/>
    <x v="0"/>
    <s v="Consumer"/>
    <x v="2"/>
    <s v="Accessories"/>
    <n v="205.86"/>
    <n v="1"/>
    <n v="83.15"/>
  </r>
  <r>
    <s v="ORD-1791"/>
    <s v="2025-05-12"/>
    <x v="1"/>
    <s v="Home Office"/>
    <x v="0"/>
    <s v="Chairs"/>
    <n v="37.9"/>
    <n v="8"/>
    <n v="4.0599999999999996"/>
  </r>
  <r>
    <s v="ORD-1792"/>
    <s v="2025-05-13"/>
    <x v="0"/>
    <s v="Consumer"/>
    <x v="0"/>
    <s v="Bookcases"/>
    <n v="219.73"/>
    <n v="9"/>
    <n v="-17.190000000000001"/>
  </r>
  <r>
    <s v="ORD-1793"/>
    <s v="2025-05-13"/>
    <x v="2"/>
    <s v="Home Office"/>
    <x v="1"/>
    <s v="Paper"/>
    <n v="68.260000000000005"/>
    <n v="9"/>
    <n v="18.64"/>
  </r>
  <r>
    <s v="ORD-1794"/>
    <s v="2025-05-13"/>
    <x v="0"/>
    <s v="Home Office"/>
    <x v="2"/>
    <s v="Laptops"/>
    <n v="172.88"/>
    <n v="2"/>
    <n v="26.81"/>
  </r>
  <r>
    <s v="ORD-1795"/>
    <s v="2025-05-13"/>
    <x v="1"/>
    <s v="Consumer"/>
    <x v="1"/>
    <s v="Storage"/>
    <n v="82.55"/>
    <n v="9"/>
    <n v="4.9000000000000004"/>
  </r>
  <r>
    <s v="ORD-1796"/>
    <s v="2025-05-13"/>
    <x v="1"/>
    <s v="Consumer"/>
    <x v="1"/>
    <s v="Storage"/>
    <n v="929.43"/>
    <n v="7"/>
    <n v="-79.040000000000006"/>
  </r>
  <r>
    <s v="ORD-1797"/>
    <s v="2025-05-13"/>
    <x v="1"/>
    <s v="Corporate"/>
    <x v="0"/>
    <s v="Chairs"/>
    <n v="65.89"/>
    <n v="5"/>
    <n v="7.73"/>
  </r>
  <r>
    <s v="ORD-1798"/>
    <s v="2025-05-14"/>
    <x v="2"/>
    <s v="Consumer"/>
    <x v="1"/>
    <s v="Storage"/>
    <n v="69.09"/>
    <n v="7"/>
    <n v="4.3899999999999997"/>
  </r>
  <r>
    <s v="ORD-1799"/>
    <s v="2025-05-14"/>
    <x v="0"/>
    <s v="Home Office"/>
    <x v="1"/>
    <s v="Paper"/>
    <n v="420.34"/>
    <n v="9"/>
    <n v="57.73"/>
  </r>
  <r>
    <s v="ORD-1800"/>
    <s v="2025-05-14"/>
    <x v="0"/>
    <s v="Consumer"/>
    <x v="1"/>
    <s v="Paper"/>
    <n v="23.74"/>
    <n v="8"/>
    <n v="1.4"/>
  </r>
  <r>
    <s v="ORD-1801"/>
    <s v="2025-05-14"/>
    <x v="1"/>
    <s v="Consumer"/>
    <x v="2"/>
    <s v="Laptops"/>
    <n v="198.95"/>
    <n v="6"/>
    <n v="63.57"/>
  </r>
  <r>
    <s v="ORD-1802"/>
    <s v="2025-05-14"/>
    <x v="0"/>
    <s v="Home Office"/>
    <x v="0"/>
    <s v="Chairs"/>
    <n v="213.83"/>
    <n v="4"/>
    <n v="-18.72"/>
  </r>
  <r>
    <s v="ORD-1803"/>
    <s v="2025-05-14"/>
    <x v="3"/>
    <s v="Corporate"/>
    <x v="1"/>
    <s v="Binders"/>
    <n v="291.52999999999997"/>
    <n v="1"/>
    <n v="5.69"/>
  </r>
  <r>
    <s v="ORD-1804"/>
    <s v="2025-05-15"/>
    <x v="3"/>
    <s v="Home Office"/>
    <x v="0"/>
    <s v="Tables"/>
    <n v="570"/>
    <n v="6"/>
    <n v="-3.33"/>
  </r>
  <r>
    <s v="ORD-1805"/>
    <s v="2025-05-15"/>
    <x v="3"/>
    <s v="Consumer"/>
    <x v="1"/>
    <s v="Storage"/>
    <n v="576.99"/>
    <n v="3"/>
    <n v="3.82"/>
  </r>
  <r>
    <s v="ORD-1806"/>
    <s v="2025-05-15"/>
    <x v="0"/>
    <s v="Corporate"/>
    <x v="1"/>
    <s v="Storage"/>
    <n v="30.13"/>
    <n v="6"/>
    <n v="2"/>
  </r>
  <r>
    <s v="ORD-1807"/>
    <s v="2025-05-15"/>
    <x v="2"/>
    <s v="Corporate"/>
    <x v="1"/>
    <s v="Paper"/>
    <n v="278.76"/>
    <n v="6"/>
    <n v="-16.920000000000002"/>
  </r>
  <r>
    <s v="ORD-1808"/>
    <s v="2025-05-15"/>
    <x v="2"/>
    <s v="Corporate"/>
    <x v="0"/>
    <s v="Tables"/>
    <n v="175.9"/>
    <n v="4"/>
    <n v="-33.840000000000003"/>
  </r>
  <r>
    <s v="ORD-1809"/>
    <s v="2025-05-15"/>
    <x v="2"/>
    <s v="Corporate"/>
    <x v="2"/>
    <s v="Accessories"/>
    <n v="176.34"/>
    <n v="2"/>
    <n v="47.23"/>
  </r>
  <r>
    <s v="ORD-1810"/>
    <s v="2025-05-16"/>
    <x v="2"/>
    <s v="Corporate"/>
    <x v="1"/>
    <s v="Paper"/>
    <n v="40.61"/>
    <n v="9"/>
    <n v="-1.89"/>
  </r>
  <r>
    <s v="ORD-1811"/>
    <s v="2025-05-16"/>
    <x v="3"/>
    <s v="Consumer"/>
    <x v="1"/>
    <s v="Paper"/>
    <n v="177.55"/>
    <n v="2"/>
    <n v="0.33"/>
  </r>
  <r>
    <s v="ORD-1812"/>
    <s v="2025-05-16"/>
    <x v="3"/>
    <s v="Consumer"/>
    <x v="2"/>
    <s v="Phones"/>
    <n v="626.67999999999995"/>
    <n v="3"/>
    <n v="156.52000000000001"/>
  </r>
  <r>
    <s v="ORD-1813"/>
    <s v="2025-05-16"/>
    <x v="1"/>
    <s v="Corporate"/>
    <x v="1"/>
    <s v="Paper"/>
    <n v="384.25"/>
    <n v="1"/>
    <n v="36.75"/>
  </r>
  <r>
    <s v="ORD-1814"/>
    <s v="2025-05-16"/>
    <x v="0"/>
    <s v="Consumer"/>
    <x v="1"/>
    <s v="Storage"/>
    <n v="106.74"/>
    <n v="7"/>
    <n v="37.270000000000003"/>
  </r>
  <r>
    <s v="ORD-1815"/>
    <s v="2025-05-16"/>
    <x v="0"/>
    <s v="Corporate"/>
    <x v="0"/>
    <s v="Chairs"/>
    <n v="26.12"/>
    <n v="1"/>
    <n v="3.48"/>
  </r>
  <r>
    <s v="ORD-1816"/>
    <s v="2025-05-17"/>
    <x v="2"/>
    <s v="Consumer"/>
    <x v="0"/>
    <s v="Tables"/>
    <n v="87.48"/>
    <n v="9"/>
    <n v="-11.97"/>
  </r>
  <r>
    <s v="ORD-1817"/>
    <s v="2025-05-17"/>
    <x v="3"/>
    <s v="Corporate"/>
    <x v="0"/>
    <s v="Tables"/>
    <n v="282.64"/>
    <n v="1"/>
    <n v="1.61"/>
  </r>
  <r>
    <s v="ORD-1818"/>
    <s v="2025-05-17"/>
    <x v="2"/>
    <s v="Corporate"/>
    <x v="2"/>
    <s v="Phones"/>
    <n v="201.35"/>
    <n v="5"/>
    <n v="65.42"/>
  </r>
  <r>
    <s v="ORD-1819"/>
    <s v="2025-05-17"/>
    <x v="1"/>
    <s v="Consumer"/>
    <x v="0"/>
    <s v="Tables"/>
    <n v="112.25"/>
    <n v="7"/>
    <n v="-12.32"/>
  </r>
  <r>
    <s v="ORD-1820"/>
    <s v="2025-05-17"/>
    <x v="0"/>
    <s v="Consumer"/>
    <x v="1"/>
    <s v="Paper"/>
    <n v="28.5"/>
    <n v="3"/>
    <n v="0.01"/>
  </r>
  <r>
    <s v="ORD-1821"/>
    <s v="2025-05-17"/>
    <x v="0"/>
    <s v="Consumer"/>
    <x v="2"/>
    <s v="Accessories"/>
    <n v="103.5"/>
    <n v="9"/>
    <n v="25.75"/>
  </r>
  <r>
    <s v="ORD-1822"/>
    <s v="2025-05-18"/>
    <x v="2"/>
    <s v="Corporate"/>
    <x v="0"/>
    <s v="Bookcases"/>
    <n v="114.96"/>
    <n v="8"/>
    <n v="-7.74"/>
  </r>
  <r>
    <s v="ORD-1823"/>
    <s v="2025-05-18"/>
    <x v="1"/>
    <s v="Home Office"/>
    <x v="0"/>
    <s v="Chairs"/>
    <n v="415.83"/>
    <n v="3"/>
    <n v="-38.909999999999997"/>
  </r>
  <r>
    <s v="ORD-1824"/>
    <s v="2025-05-18"/>
    <x v="0"/>
    <s v="Consumer"/>
    <x v="0"/>
    <s v="Bookcases"/>
    <n v="173.7"/>
    <n v="5"/>
    <n v="-1"/>
  </r>
  <r>
    <s v="ORD-1825"/>
    <s v="2025-05-18"/>
    <x v="1"/>
    <s v="Corporate"/>
    <x v="1"/>
    <s v="Paper"/>
    <n v="76.02"/>
    <n v="7"/>
    <n v="5.7"/>
  </r>
  <r>
    <s v="ORD-1826"/>
    <s v="2025-05-18"/>
    <x v="1"/>
    <s v="Consumer"/>
    <x v="0"/>
    <s v="Bookcases"/>
    <n v="131.77000000000001"/>
    <n v="4"/>
    <n v="-21.77"/>
  </r>
  <r>
    <s v="ORD-1827"/>
    <s v="2025-05-18"/>
    <x v="2"/>
    <s v="Consumer"/>
    <x v="0"/>
    <s v="Tables"/>
    <n v="30.25"/>
    <n v="5"/>
    <n v="-1.18"/>
  </r>
  <r>
    <s v="ORD-1828"/>
    <s v="2025-05-19"/>
    <x v="3"/>
    <s v="Home Office"/>
    <x v="1"/>
    <s v="Binders"/>
    <n v="559.41"/>
    <n v="3"/>
    <n v="105.5"/>
  </r>
  <r>
    <s v="ORD-1829"/>
    <s v="2025-05-19"/>
    <x v="2"/>
    <s v="Consumer"/>
    <x v="0"/>
    <s v="Tables"/>
    <n v="86.96"/>
    <n v="9"/>
    <n v="-14.58"/>
  </r>
  <r>
    <s v="ORD-1830"/>
    <s v="2025-05-19"/>
    <x v="3"/>
    <s v="Consumer"/>
    <x v="2"/>
    <s v="Laptops"/>
    <n v="117.48"/>
    <n v="9"/>
    <n v="40.270000000000003"/>
  </r>
  <r>
    <s v="ORD-1831"/>
    <s v="2025-05-19"/>
    <x v="1"/>
    <s v="Consumer"/>
    <x v="0"/>
    <s v="Bookcases"/>
    <n v="85.84"/>
    <n v="7"/>
    <n v="-19.489999999999998"/>
  </r>
  <r>
    <s v="ORD-1832"/>
    <s v="2025-05-19"/>
    <x v="3"/>
    <s v="Consumer"/>
    <x v="2"/>
    <s v="Laptops"/>
    <n v="192.1"/>
    <n v="2"/>
    <n v="36.92"/>
  </r>
  <r>
    <s v="ORD-1833"/>
    <s v="2025-05-19"/>
    <x v="1"/>
    <s v="Consumer"/>
    <x v="2"/>
    <s v="Phones"/>
    <n v="182.81"/>
    <n v="7"/>
    <n v="40.99"/>
  </r>
  <r>
    <s v="ORD-1834"/>
    <s v="2025-05-20"/>
    <x v="0"/>
    <s v="Consumer"/>
    <x v="0"/>
    <s v="Bookcases"/>
    <n v="208.46"/>
    <n v="7"/>
    <n v="-23.69"/>
  </r>
  <r>
    <s v="ORD-1835"/>
    <s v="2025-05-20"/>
    <x v="0"/>
    <s v="Corporate"/>
    <x v="0"/>
    <s v="Chairs"/>
    <n v="66.83"/>
    <n v="5"/>
    <n v="-7.12"/>
  </r>
  <r>
    <s v="ORD-1836"/>
    <s v="2025-05-20"/>
    <x v="0"/>
    <s v="Consumer"/>
    <x v="1"/>
    <s v="Paper"/>
    <n v="76.900000000000006"/>
    <n v="9"/>
    <n v="25.92"/>
  </r>
  <r>
    <s v="ORD-1837"/>
    <s v="2025-05-20"/>
    <x v="2"/>
    <s v="Corporate"/>
    <x v="0"/>
    <s v="Bookcases"/>
    <n v="40.07"/>
    <n v="3"/>
    <n v="-5.41"/>
  </r>
  <r>
    <s v="ORD-1838"/>
    <s v="2025-05-20"/>
    <x v="2"/>
    <s v="Consumer"/>
    <x v="0"/>
    <s v="Tables"/>
    <n v="179.85"/>
    <n v="4"/>
    <n v="34.909999999999997"/>
  </r>
  <r>
    <s v="ORD-1839"/>
    <s v="2025-05-20"/>
    <x v="1"/>
    <s v="Consumer"/>
    <x v="1"/>
    <s v="Paper"/>
    <n v="26.09"/>
    <n v="1"/>
    <n v="5.05"/>
  </r>
  <r>
    <s v="ORD-1840"/>
    <s v="2025-05-21"/>
    <x v="0"/>
    <s v="Corporate"/>
    <x v="2"/>
    <s v="Laptops"/>
    <n v="156.58000000000001"/>
    <n v="6"/>
    <n v="40.590000000000003"/>
  </r>
  <r>
    <s v="ORD-1841"/>
    <s v="2025-05-21"/>
    <x v="2"/>
    <s v="Home Office"/>
    <x v="1"/>
    <s v="Storage"/>
    <n v="325.68"/>
    <n v="4"/>
    <n v="64.36"/>
  </r>
  <r>
    <s v="ORD-1842"/>
    <s v="2025-05-21"/>
    <x v="0"/>
    <s v="Consumer"/>
    <x v="2"/>
    <s v="Laptops"/>
    <n v="352.23"/>
    <n v="1"/>
    <n v="177.17"/>
  </r>
  <r>
    <s v="ORD-1843"/>
    <s v="2025-05-21"/>
    <x v="2"/>
    <s v="Home Office"/>
    <x v="1"/>
    <s v="Paper"/>
    <n v="109.41"/>
    <n v="2"/>
    <n v="5.54"/>
  </r>
  <r>
    <s v="ORD-1844"/>
    <s v="2025-05-21"/>
    <x v="3"/>
    <s v="Corporate"/>
    <x v="2"/>
    <s v="Accessories"/>
    <n v="112.23"/>
    <n v="3"/>
    <n v="15.48"/>
  </r>
  <r>
    <s v="ORD-1845"/>
    <s v="2025-05-21"/>
    <x v="3"/>
    <s v="Corporate"/>
    <x v="0"/>
    <s v="Bookcases"/>
    <n v="32.01"/>
    <n v="9"/>
    <n v="-4.0199999999999996"/>
  </r>
  <r>
    <s v="ORD-1846"/>
    <s v="2025-05-22"/>
    <x v="0"/>
    <s v="Corporate"/>
    <x v="2"/>
    <s v="Phones"/>
    <n v="186.65"/>
    <n v="8"/>
    <n v="47.26"/>
  </r>
  <r>
    <s v="ORD-1847"/>
    <s v="2025-05-22"/>
    <x v="1"/>
    <s v="Consumer"/>
    <x v="1"/>
    <s v="Storage"/>
    <n v="278.27"/>
    <n v="7"/>
    <n v="-6.28"/>
  </r>
  <r>
    <s v="ORD-1848"/>
    <s v="2025-05-22"/>
    <x v="2"/>
    <s v="Consumer"/>
    <x v="0"/>
    <s v="Tables"/>
    <n v="62.09"/>
    <n v="4"/>
    <n v="-2.97"/>
  </r>
  <r>
    <s v="ORD-1849"/>
    <s v="2025-05-22"/>
    <x v="2"/>
    <s v="Corporate"/>
    <x v="0"/>
    <s v="Tables"/>
    <n v="102.05"/>
    <n v="1"/>
    <n v="12.18"/>
  </r>
  <r>
    <s v="ORD-1850"/>
    <s v="2025-05-22"/>
    <x v="3"/>
    <s v="Consumer"/>
    <x v="2"/>
    <s v="Phones"/>
    <n v="293.8"/>
    <n v="8"/>
    <n v="77.900000000000006"/>
  </r>
  <r>
    <s v="ORD-1851"/>
    <s v="2025-05-22"/>
    <x v="3"/>
    <s v="Home Office"/>
    <x v="1"/>
    <s v="Binders"/>
    <n v="334.48"/>
    <n v="4"/>
    <n v="40.380000000000003"/>
  </r>
  <r>
    <s v="ORD-1852"/>
    <s v="2025-05-23"/>
    <x v="1"/>
    <s v="Consumer"/>
    <x v="2"/>
    <s v="Accessories"/>
    <n v="61.79"/>
    <n v="3"/>
    <n v="11.63"/>
  </r>
  <r>
    <s v="ORD-1853"/>
    <s v="2025-05-23"/>
    <x v="1"/>
    <s v="Consumer"/>
    <x v="1"/>
    <s v="Storage"/>
    <n v="139.97"/>
    <n v="9"/>
    <n v="33.57"/>
  </r>
  <r>
    <s v="ORD-1854"/>
    <s v="2025-05-23"/>
    <x v="1"/>
    <s v="Corporate"/>
    <x v="2"/>
    <s v="Accessories"/>
    <n v="52.07"/>
    <n v="4"/>
    <n v="8.7200000000000006"/>
  </r>
  <r>
    <s v="ORD-1855"/>
    <s v="2025-05-23"/>
    <x v="0"/>
    <s v="Consumer"/>
    <x v="2"/>
    <s v="Laptops"/>
    <n v="36.119999999999997"/>
    <n v="4"/>
    <n v="15.7"/>
  </r>
  <r>
    <s v="ORD-1856"/>
    <s v="2025-05-23"/>
    <x v="3"/>
    <s v="Corporate"/>
    <x v="2"/>
    <s v="Phones"/>
    <n v="383.07"/>
    <n v="9"/>
    <n v="169.83"/>
  </r>
  <r>
    <s v="ORD-1857"/>
    <s v="2025-05-23"/>
    <x v="0"/>
    <s v="Corporate"/>
    <x v="0"/>
    <s v="Tables"/>
    <n v="277.64"/>
    <n v="2"/>
    <n v="-6.75"/>
  </r>
  <r>
    <s v="ORD-1858"/>
    <s v="2025-05-24"/>
    <x v="3"/>
    <s v="Home Office"/>
    <x v="0"/>
    <s v="Bookcases"/>
    <n v="234.09"/>
    <n v="5"/>
    <n v="-11.97"/>
  </r>
  <r>
    <s v="ORD-1859"/>
    <s v="2025-05-24"/>
    <x v="3"/>
    <s v="Corporate"/>
    <x v="2"/>
    <s v="Accessories"/>
    <n v="27.5"/>
    <n v="4"/>
    <n v="9.7100000000000009"/>
  </r>
  <r>
    <s v="ORD-1860"/>
    <s v="2025-05-24"/>
    <x v="2"/>
    <s v="Corporate"/>
    <x v="1"/>
    <s v="Binders"/>
    <n v="298.42"/>
    <n v="9"/>
    <n v="77.430000000000007"/>
  </r>
  <r>
    <s v="ORD-1861"/>
    <s v="2025-05-24"/>
    <x v="3"/>
    <s v="Corporate"/>
    <x v="0"/>
    <s v="Bookcases"/>
    <n v="106.45"/>
    <n v="5"/>
    <n v="-13.9"/>
  </r>
  <r>
    <s v="ORD-1862"/>
    <s v="2025-05-24"/>
    <x v="3"/>
    <s v="Home Office"/>
    <x v="0"/>
    <s v="Chairs"/>
    <n v="82.87"/>
    <n v="9"/>
    <n v="-8.51"/>
  </r>
  <r>
    <s v="ORD-1863"/>
    <s v="2025-05-24"/>
    <x v="0"/>
    <s v="Consumer"/>
    <x v="0"/>
    <s v="Bookcases"/>
    <n v="138.61000000000001"/>
    <n v="9"/>
    <n v="-25.26"/>
  </r>
  <r>
    <s v="ORD-1864"/>
    <s v="2025-05-25"/>
    <x v="3"/>
    <s v="Consumer"/>
    <x v="0"/>
    <s v="Tables"/>
    <n v="34.369999999999997"/>
    <n v="2"/>
    <n v="-0.31"/>
  </r>
  <r>
    <s v="ORD-1865"/>
    <s v="2025-05-25"/>
    <x v="0"/>
    <s v="Consumer"/>
    <x v="0"/>
    <s v="Bookcases"/>
    <n v="231.99"/>
    <n v="9"/>
    <n v="3.87"/>
  </r>
  <r>
    <s v="ORD-1866"/>
    <s v="2025-05-25"/>
    <x v="1"/>
    <s v="Consumer"/>
    <x v="2"/>
    <s v="Laptops"/>
    <n v="151"/>
    <n v="3"/>
    <n v="17.37"/>
  </r>
  <r>
    <s v="ORD-1867"/>
    <s v="2025-05-25"/>
    <x v="3"/>
    <s v="Corporate"/>
    <x v="2"/>
    <s v="Phones"/>
    <n v="50.98"/>
    <n v="4"/>
    <n v="10.42"/>
  </r>
  <r>
    <s v="ORD-1868"/>
    <s v="2025-05-25"/>
    <x v="3"/>
    <s v="Corporate"/>
    <x v="1"/>
    <s v="Binders"/>
    <n v="51.28"/>
    <n v="1"/>
    <n v="0.78"/>
  </r>
  <r>
    <s v="ORD-1869"/>
    <s v="2025-05-25"/>
    <x v="0"/>
    <s v="Corporate"/>
    <x v="1"/>
    <s v="Binders"/>
    <n v="50.55"/>
    <n v="1"/>
    <n v="3.04"/>
  </r>
  <r>
    <s v="ORD-1870"/>
    <s v="2025-05-26"/>
    <x v="1"/>
    <s v="Consumer"/>
    <x v="0"/>
    <s v="Tables"/>
    <n v="28.8"/>
    <n v="1"/>
    <n v="0.15"/>
  </r>
  <r>
    <s v="ORD-1871"/>
    <s v="2025-05-26"/>
    <x v="2"/>
    <s v="Corporate"/>
    <x v="2"/>
    <s v="Phones"/>
    <n v="152.94"/>
    <n v="9"/>
    <n v="27.02"/>
  </r>
  <r>
    <s v="ORD-1872"/>
    <s v="2025-05-26"/>
    <x v="1"/>
    <s v="Consumer"/>
    <x v="1"/>
    <s v="Storage"/>
    <n v="295.20999999999998"/>
    <n v="8"/>
    <n v="35.4"/>
  </r>
  <r>
    <s v="ORD-1873"/>
    <s v="2025-05-26"/>
    <x v="0"/>
    <s v="Corporate"/>
    <x v="0"/>
    <s v="Chairs"/>
    <n v="22.65"/>
    <n v="5"/>
    <n v="-4.82"/>
  </r>
  <r>
    <s v="ORD-1874"/>
    <s v="2025-05-26"/>
    <x v="1"/>
    <s v="Corporate"/>
    <x v="2"/>
    <s v="Laptops"/>
    <n v="27.54"/>
    <n v="5"/>
    <n v="7.4"/>
  </r>
  <r>
    <s v="ORD-1875"/>
    <s v="2025-05-26"/>
    <x v="0"/>
    <s v="Consumer"/>
    <x v="2"/>
    <s v="Phones"/>
    <n v="147.57"/>
    <n v="9"/>
    <n v="36.24"/>
  </r>
  <r>
    <s v="ORD-1876"/>
    <s v="2025-05-27"/>
    <x v="0"/>
    <s v="Consumer"/>
    <x v="1"/>
    <s v="Binders"/>
    <n v="276.8"/>
    <n v="3"/>
    <n v="21.34"/>
  </r>
  <r>
    <s v="ORD-1877"/>
    <s v="2025-05-27"/>
    <x v="2"/>
    <s v="Consumer"/>
    <x v="1"/>
    <s v="Binders"/>
    <n v="79.34"/>
    <n v="3"/>
    <n v="10.4"/>
  </r>
  <r>
    <s v="ORD-1878"/>
    <s v="2025-05-27"/>
    <x v="3"/>
    <s v="Home Office"/>
    <x v="2"/>
    <s v="Accessories"/>
    <n v="84.53"/>
    <n v="7"/>
    <n v="22.66"/>
  </r>
  <r>
    <s v="ORD-1879"/>
    <s v="2025-05-27"/>
    <x v="0"/>
    <s v="Home Office"/>
    <x v="2"/>
    <s v="Accessories"/>
    <n v="156.08000000000001"/>
    <n v="9"/>
    <n v="26.3"/>
  </r>
  <r>
    <s v="ORD-1880"/>
    <s v="2025-05-27"/>
    <x v="0"/>
    <s v="Corporate"/>
    <x v="2"/>
    <s v="Accessories"/>
    <n v="68.069999999999993"/>
    <n v="6"/>
    <n v="6.97"/>
  </r>
  <r>
    <s v="ORD-1881"/>
    <s v="2025-05-27"/>
    <x v="2"/>
    <s v="Consumer"/>
    <x v="1"/>
    <s v="Paper"/>
    <n v="24.05"/>
    <n v="2"/>
    <n v="7.95"/>
  </r>
  <r>
    <s v="ORD-1882"/>
    <s v="2025-05-28"/>
    <x v="0"/>
    <s v="Consumer"/>
    <x v="2"/>
    <s v="Accessories"/>
    <n v="219.33"/>
    <n v="1"/>
    <n v="40.94"/>
  </r>
  <r>
    <s v="ORD-1883"/>
    <s v="2025-05-28"/>
    <x v="3"/>
    <s v="Corporate"/>
    <x v="2"/>
    <s v="Laptops"/>
    <n v="167.38"/>
    <n v="2"/>
    <n v="40.229999999999997"/>
  </r>
  <r>
    <s v="ORD-1884"/>
    <s v="2025-05-28"/>
    <x v="2"/>
    <s v="Corporate"/>
    <x v="1"/>
    <s v="Binders"/>
    <n v="150.4"/>
    <n v="1"/>
    <n v="37.76"/>
  </r>
  <r>
    <s v="ORD-1885"/>
    <s v="2025-05-28"/>
    <x v="3"/>
    <s v="Consumer"/>
    <x v="2"/>
    <s v="Phones"/>
    <n v="223.04"/>
    <n v="9"/>
    <n v="134.47"/>
  </r>
  <r>
    <s v="ORD-1886"/>
    <s v="2025-05-28"/>
    <x v="3"/>
    <s v="Consumer"/>
    <x v="1"/>
    <s v="Binders"/>
    <n v="188.7"/>
    <n v="8"/>
    <n v="4.82"/>
  </r>
  <r>
    <s v="ORD-1887"/>
    <s v="2025-05-28"/>
    <x v="2"/>
    <s v="Corporate"/>
    <x v="2"/>
    <s v="Laptops"/>
    <n v="54.58"/>
    <n v="7"/>
    <n v="16.100000000000001"/>
  </r>
  <r>
    <s v="ORD-1888"/>
    <s v="2025-05-29"/>
    <x v="0"/>
    <s v="Consumer"/>
    <x v="2"/>
    <s v="Accessories"/>
    <n v="85.19"/>
    <n v="3"/>
    <n v="15.27"/>
  </r>
  <r>
    <s v="ORD-1889"/>
    <s v="2025-05-29"/>
    <x v="3"/>
    <s v="Consumer"/>
    <x v="2"/>
    <s v="Laptops"/>
    <n v="40.22"/>
    <n v="8"/>
    <n v="7.89"/>
  </r>
  <r>
    <s v="ORD-1890"/>
    <s v="2025-05-29"/>
    <x v="3"/>
    <s v="Consumer"/>
    <x v="1"/>
    <s v="Paper"/>
    <n v="40.86"/>
    <n v="2"/>
    <n v="3.19"/>
  </r>
  <r>
    <s v="ORD-1891"/>
    <s v="2025-05-29"/>
    <x v="3"/>
    <s v="Corporate"/>
    <x v="1"/>
    <s v="Storage"/>
    <n v="189.14"/>
    <n v="2"/>
    <n v="7.08"/>
  </r>
  <r>
    <s v="ORD-1892"/>
    <s v="2025-05-29"/>
    <x v="3"/>
    <s v="Home Office"/>
    <x v="1"/>
    <s v="Storage"/>
    <n v="313.42"/>
    <n v="3"/>
    <n v="45.72"/>
  </r>
  <r>
    <s v="ORD-1893"/>
    <s v="2025-05-29"/>
    <x v="2"/>
    <s v="Home Office"/>
    <x v="0"/>
    <s v="Bookcases"/>
    <n v="513.45000000000005"/>
    <n v="7"/>
    <n v="-101.38"/>
  </r>
  <r>
    <s v="ORD-1894"/>
    <s v="2025-05-30"/>
    <x v="2"/>
    <s v="Corporate"/>
    <x v="1"/>
    <s v="Storage"/>
    <n v="168.47"/>
    <n v="1"/>
    <n v="41.22"/>
  </r>
  <r>
    <s v="ORD-1895"/>
    <s v="2025-05-30"/>
    <x v="1"/>
    <s v="Corporate"/>
    <x v="2"/>
    <s v="Laptops"/>
    <n v="50.52"/>
    <n v="8"/>
    <n v="12.91"/>
  </r>
  <r>
    <s v="ORD-1896"/>
    <s v="2025-05-30"/>
    <x v="1"/>
    <s v="Consumer"/>
    <x v="2"/>
    <s v="Phones"/>
    <n v="36.75"/>
    <n v="7"/>
    <n v="10.74"/>
  </r>
  <r>
    <s v="ORD-1897"/>
    <s v="2025-05-30"/>
    <x v="3"/>
    <s v="Corporate"/>
    <x v="1"/>
    <s v="Paper"/>
    <n v="271.38"/>
    <n v="4"/>
    <n v="28.06"/>
  </r>
  <r>
    <s v="ORD-1898"/>
    <s v="2025-05-30"/>
    <x v="0"/>
    <s v="Consumer"/>
    <x v="2"/>
    <s v="Accessories"/>
    <n v="149.68"/>
    <n v="5"/>
    <n v="31.92"/>
  </r>
  <r>
    <s v="ORD-1899"/>
    <s v="2025-05-30"/>
    <x v="3"/>
    <s v="Corporate"/>
    <x v="2"/>
    <s v="Accessories"/>
    <n v="164.46"/>
    <n v="1"/>
    <n v="45.84"/>
  </r>
  <r>
    <s v="ORD-1900"/>
    <s v="2025-05-31"/>
    <x v="0"/>
    <s v="Consumer"/>
    <x v="2"/>
    <s v="Accessories"/>
    <n v="248.12"/>
    <n v="4"/>
    <n v="33.15"/>
  </r>
  <r>
    <s v="ORD-1901"/>
    <s v="2025-05-31"/>
    <x v="3"/>
    <s v="Consumer"/>
    <x v="2"/>
    <s v="Laptops"/>
    <n v="202.24"/>
    <n v="1"/>
    <n v="43.32"/>
  </r>
  <r>
    <s v="ORD-1902"/>
    <s v="2025-05-31"/>
    <x v="1"/>
    <s v="Consumer"/>
    <x v="2"/>
    <s v="Phones"/>
    <n v="289.77999999999997"/>
    <n v="1"/>
    <n v="47.54"/>
  </r>
  <r>
    <s v="ORD-1903"/>
    <s v="2025-05-31"/>
    <x v="1"/>
    <s v="Consumer"/>
    <x v="0"/>
    <s v="Bookcases"/>
    <n v="28.68"/>
    <n v="1"/>
    <n v="-3.99"/>
  </r>
  <r>
    <s v="ORD-1904"/>
    <s v="2025-05-31"/>
    <x v="0"/>
    <s v="Consumer"/>
    <x v="0"/>
    <s v="Tables"/>
    <n v="226.46"/>
    <n v="7"/>
    <n v="-59.1"/>
  </r>
  <r>
    <s v="ORD-1905"/>
    <s v="2025-05-31"/>
    <x v="3"/>
    <s v="Consumer"/>
    <x v="1"/>
    <s v="Binders"/>
    <n v="305.42"/>
    <n v="7"/>
    <n v="86.72"/>
  </r>
  <r>
    <s v="ORD-1906"/>
    <s v="2025-06-01"/>
    <x v="0"/>
    <s v="Home Office"/>
    <x v="1"/>
    <s v="Storage"/>
    <n v="70.56"/>
    <n v="4"/>
    <n v="5.74"/>
  </r>
  <r>
    <s v="ORD-1907"/>
    <s v="2025-06-01"/>
    <x v="1"/>
    <s v="Consumer"/>
    <x v="0"/>
    <s v="Bookcases"/>
    <n v="173.43"/>
    <n v="2"/>
    <n v="11.5"/>
  </r>
  <r>
    <s v="ORD-1908"/>
    <s v="2025-06-01"/>
    <x v="3"/>
    <s v="Corporate"/>
    <x v="2"/>
    <s v="Phones"/>
    <n v="76.569999999999993"/>
    <n v="3"/>
    <n v="27.33"/>
  </r>
  <r>
    <s v="ORD-1909"/>
    <s v="2025-06-01"/>
    <x v="3"/>
    <s v="Home Office"/>
    <x v="0"/>
    <s v="Bookcases"/>
    <n v="495.41"/>
    <n v="8"/>
    <n v="-88.48"/>
  </r>
  <r>
    <s v="ORD-1910"/>
    <s v="2025-06-01"/>
    <x v="0"/>
    <s v="Home Office"/>
    <x v="0"/>
    <s v="Chairs"/>
    <n v="25.1"/>
    <n v="8"/>
    <n v="-3.99"/>
  </r>
  <r>
    <s v="ORD-1911"/>
    <s v="2025-06-01"/>
    <x v="2"/>
    <s v="Corporate"/>
    <x v="2"/>
    <s v="Phones"/>
    <n v="150.05000000000001"/>
    <n v="6"/>
    <n v="75.930000000000007"/>
  </r>
  <r>
    <s v="ORD-1912"/>
    <s v="2025-06-02"/>
    <x v="0"/>
    <s v="Home Office"/>
    <x v="1"/>
    <s v="Paper"/>
    <n v="47.32"/>
    <n v="9"/>
    <n v="15.38"/>
  </r>
  <r>
    <s v="ORD-1913"/>
    <s v="2025-06-02"/>
    <x v="1"/>
    <s v="Consumer"/>
    <x v="0"/>
    <s v="Chairs"/>
    <n v="206.83"/>
    <n v="9"/>
    <n v="-10.99"/>
  </r>
  <r>
    <s v="ORD-1914"/>
    <s v="2025-06-02"/>
    <x v="1"/>
    <s v="Consumer"/>
    <x v="0"/>
    <s v="Tables"/>
    <n v="49.02"/>
    <n v="4"/>
    <n v="-1.19"/>
  </r>
  <r>
    <s v="ORD-1915"/>
    <s v="2025-06-02"/>
    <x v="1"/>
    <s v="Consumer"/>
    <x v="0"/>
    <s v="Tables"/>
    <n v="60.26"/>
    <n v="1"/>
    <n v="-6.81"/>
  </r>
  <r>
    <s v="ORD-1916"/>
    <s v="2025-06-02"/>
    <x v="1"/>
    <s v="Corporate"/>
    <x v="2"/>
    <s v="Accessories"/>
    <n v="122.29"/>
    <n v="1"/>
    <n v="35.86"/>
  </r>
  <r>
    <s v="ORD-1917"/>
    <s v="2025-06-02"/>
    <x v="1"/>
    <s v="Corporate"/>
    <x v="1"/>
    <s v="Binders"/>
    <n v="389.47"/>
    <n v="5"/>
    <n v="30.49"/>
  </r>
  <r>
    <s v="ORD-1918"/>
    <s v="2025-06-03"/>
    <x v="2"/>
    <s v="Consumer"/>
    <x v="1"/>
    <s v="Binders"/>
    <n v="55.68"/>
    <n v="2"/>
    <n v="-2.96"/>
  </r>
  <r>
    <s v="ORD-1919"/>
    <s v="2025-06-03"/>
    <x v="3"/>
    <s v="Consumer"/>
    <x v="2"/>
    <s v="Laptops"/>
    <n v="43.36"/>
    <n v="6"/>
    <n v="5.1100000000000003"/>
  </r>
  <r>
    <s v="ORD-1920"/>
    <s v="2025-06-03"/>
    <x v="0"/>
    <s v="Corporate"/>
    <x v="1"/>
    <s v="Binders"/>
    <n v="233.43"/>
    <n v="7"/>
    <n v="35.51"/>
  </r>
  <r>
    <s v="ORD-1921"/>
    <s v="2025-06-03"/>
    <x v="0"/>
    <s v="Consumer"/>
    <x v="0"/>
    <s v="Chairs"/>
    <n v="124.16"/>
    <n v="1"/>
    <n v="-20.25"/>
  </r>
  <r>
    <s v="ORD-1922"/>
    <s v="2025-06-03"/>
    <x v="1"/>
    <s v="Corporate"/>
    <x v="1"/>
    <s v="Storage"/>
    <n v="384.2"/>
    <n v="6"/>
    <n v="55.05"/>
  </r>
  <r>
    <s v="ORD-1923"/>
    <s v="2025-06-03"/>
    <x v="0"/>
    <s v="Corporate"/>
    <x v="1"/>
    <s v="Binders"/>
    <n v="43.78"/>
    <n v="8"/>
    <n v="1.86"/>
  </r>
  <r>
    <s v="ORD-1924"/>
    <s v="2025-06-04"/>
    <x v="1"/>
    <s v="Corporate"/>
    <x v="0"/>
    <s v="Chairs"/>
    <n v="175.74"/>
    <n v="5"/>
    <n v="-22.54"/>
  </r>
  <r>
    <s v="ORD-1925"/>
    <s v="2025-06-04"/>
    <x v="2"/>
    <s v="Corporate"/>
    <x v="2"/>
    <s v="Phones"/>
    <n v="59.77"/>
    <n v="7"/>
    <n v="20.04"/>
  </r>
  <r>
    <s v="ORD-1926"/>
    <s v="2025-06-04"/>
    <x v="2"/>
    <s v="Home Office"/>
    <x v="2"/>
    <s v="Accessories"/>
    <n v="45.58"/>
    <n v="6"/>
    <n v="12.52"/>
  </r>
  <r>
    <s v="ORD-1927"/>
    <s v="2025-06-04"/>
    <x v="3"/>
    <s v="Consumer"/>
    <x v="0"/>
    <s v="Tables"/>
    <n v="192.53"/>
    <n v="4"/>
    <n v="-9.81"/>
  </r>
  <r>
    <s v="ORD-1928"/>
    <s v="2025-06-04"/>
    <x v="2"/>
    <s v="Corporate"/>
    <x v="1"/>
    <s v="Paper"/>
    <n v="155.09"/>
    <n v="7"/>
    <n v="36.9"/>
  </r>
  <r>
    <s v="ORD-1929"/>
    <s v="2025-06-04"/>
    <x v="2"/>
    <s v="Corporate"/>
    <x v="2"/>
    <s v="Accessories"/>
    <n v="230.87"/>
    <n v="9"/>
    <n v="68.81"/>
  </r>
  <r>
    <s v="ORD-1930"/>
    <s v="2025-06-05"/>
    <x v="3"/>
    <s v="Consumer"/>
    <x v="2"/>
    <s v="Phones"/>
    <n v="75.540000000000006"/>
    <n v="7"/>
    <n v="29.81"/>
  </r>
  <r>
    <s v="ORD-1931"/>
    <s v="2025-06-05"/>
    <x v="0"/>
    <s v="Consumer"/>
    <x v="1"/>
    <s v="Binders"/>
    <n v="109.12"/>
    <n v="5"/>
    <n v="11.35"/>
  </r>
  <r>
    <s v="ORD-1932"/>
    <s v="2025-06-05"/>
    <x v="1"/>
    <s v="Consumer"/>
    <x v="1"/>
    <s v="Storage"/>
    <n v="98"/>
    <n v="7"/>
    <n v="10.49"/>
  </r>
  <r>
    <s v="ORD-1933"/>
    <s v="2025-06-05"/>
    <x v="1"/>
    <s v="Consumer"/>
    <x v="0"/>
    <s v="Chairs"/>
    <n v="641.12"/>
    <n v="3"/>
    <n v="-115.47"/>
  </r>
  <r>
    <s v="ORD-1934"/>
    <s v="2025-06-05"/>
    <x v="0"/>
    <s v="Corporate"/>
    <x v="2"/>
    <s v="Phones"/>
    <n v="71.849999999999994"/>
    <n v="2"/>
    <n v="14.88"/>
  </r>
  <r>
    <s v="ORD-1935"/>
    <s v="2025-06-05"/>
    <x v="3"/>
    <s v="Home Office"/>
    <x v="2"/>
    <s v="Accessories"/>
    <n v="72.39"/>
    <n v="5"/>
    <n v="25.08"/>
  </r>
  <r>
    <s v="ORD-1936"/>
    <s v="2025-06-06"/>
    <x v="0"/>
    <s v="Consumer"/>
    <x v="2"/>
    <s v="Accessories"/>
    <n v="85.67"/>
    <n v="4"/>
    <n v="32.549999999999997"/>
  </r>
  <r>
    <s v="ORD-1937"/>
    <s v="2025-06-06"/>
    <x v="2"/>
    <s v="Consumer"/>
    <x v="1"/>
    <s v="Paper"/>
    <n v="144.72"/>
    <n v="5"/>
    <n v="35.61"/>
  </r>
  <r>
    <s v="ORD-1938"/>
    <s v="2025-06-06"/>
    <x v="3"/>
    <s v="Home Office"/>
    <x v="2"/>
    <s v="Laptops"/>
    <n v="63.62"/>
    <n v="8"/>
    <n v="4.49"/>
  </r>
  <r>
    <s v="ORD-1939"/>
    <s v="2025-06-06"/>
    <x v="3"/>
    <s v="Consumer"/>
    <x v="0"/>
    <s v="Chairs"/>
    <n v="390.28"/>
    <n v="4"/>
    <n v="22.76"/>
  </r>
  <r>
    <s v="ORD-1940"/>
    <s v="2025-06-06"/>
    <x v="3"/>
    <s v="Consumer"/>
    <x v="2"/>
    <s v="Laptops"/>
    <n v="66.319999999999993"/>
    <n v="9"/>
    <n v="4.3899999999999997"/>
  </r>
  <r>
    <s v="ORD-1941"/>
    <s v="2025-06-06"/>
    <x v="1"/>
    <s v="Corporate"/>
    <x v="0"/>
    <s v="Tables"/>
    <n v="359.24"/>
    <n v="7"/>
    <n v="14.3"/>
  </r>
  <r>
    <s v="ORD-1942"/>
    <s v="2025-06-07"/>
    <x v="0"/>
    <s v="Corporate"/>
    <x v="1"/>
    <s v="Binders"/>
    <n v="36.380000000000003"/>
    <n v="7"/>
    <n v="4.12"/>
  </r>
  <r>
    <s v="ORD-1943"/>
    <s v="2025-06-07"/>
    <x v="3"/>
    <s v="Consumer"/>
    <x v="1"/>
    <s v="Storage"/>
    <n v="180.31"/>
    <n v="8"/>
    <n v="39.71"/>
  </r>
  <r>
    <s v="ORD-1944"/>
    <s v="2025-06-07"/>
    <x v="3"/>
    <s v="Consumer"/>
    <x v="2"/>
    <s v="Phones"/>
    <n v="376.25"/>
    <n v="6"/>
    <n v="43.93"/>
  </r>
  <r>
    <s v="ORD-1945"/>
    <s v="2025-06-07"/>
    <x v="3"/>
    <s v="Consumer"/>
    <x v="2"/>
    <s v="Accessories"/>
    <n v="47.72"/>
    <n v="8"/>
    <n v="17.52"/>
  </r>
  <r>
    <s v="ORD-1946"/>
    <s v="2025-06-07"/>
    <x v="0"/>
    <s v="Corporate"/>
    <x v="2"/>
    <s v="Accessories"/>
    <n v="537.84"/>
    <n v="3"/>
    <n v="55.67"/>
  </r>
  <r>
    <s v="ORD-1947"/>
    <s v="2025-06-07"/>
    <x v="1"/>
    <s v="Corporate"/>
    <x v="1"/>
    <s v="Binders"/>
    <n v="110.46"/>
    <n v="1"/>
    <n v="9.19"/>
  </r>
  <r>
    <s v="ORD-1948"/>
    <s v="2025-06-08"/>
    <x v="2"/>
    <s v="Consumer"/>
    <x v="1"/>
    <s v="Paper"/>
    <n v="457.03"/>
    <n v="6"/>
    <n v="22.94"/>
  </r>
  <r>
    <s v="ORD-1949"/>
    <s v="2025-06-08"/>
    <x v="1"/>
    <s v="Corporate"/>
    <x v="0"/>
    <s v="Tables"/>
    <n v="189.43"/>
    <n v="1"/>
    <n v="-42.7"/>
  </r>
  <r>
    <s v="ORD-1950"/>
    <s v="2025-06-08"/>
    <x v="3"/>
    <s v="Home Office"/>
    <x v="1"/>
    <s v="Storage"/>
    <n v="73.84"/>
    <n v="9"/>
    <n v="11.77"/>
  </r>
  <r>
    <s v="ORD-1951"/>
    <s v="2025-06-08"/>
    <x v="1"/>
    <s v="Consumer"/>
    <x v="1"/>
    <s v="Paper"/>
    <n v="51.29"/>
    <n v="2"/>
    <n v="16.96"/>
  </r>
  <r>
    <s v="ORD-1952"/>
    <s v="2025-06-08"/>
    <x v="1"/>
    <s v="Consumer"/>
    <x v="2"/>
    <s v="Accessories"/>
    <n v="74.3"/>
    <n v="2"/>
    <n v="38.39"/>
  </r>
  <r>
    <s v="ORD-1953"/>
    <s v="2025-06-08"/>
    <x v="2"/>
    <s v="Corporate"/>
    <x v="1"/>
    <s v="Storage"/>
    <n v="34.64"/>
    <n v="7"/>
    <n v="5.53"/>
  </r>
  <r>
    <s v="ORD-1954"/>
    <s v="2025-06-09"/>
    <x v="0"/>
    <s v="Consumer"/>
    <x v="0"/>
    <s v="Chairs"/>
    <n v="43.3"/>
    <n v="2"/>
    <n v="2.67"/>
  </r>
  <r>
    <s v="ORD-1955"/>
    <s v="2025-06-09"/>
    <x v="0"/>
    <s v="Consumer"/>
    <x v="0"/>
    <s v="Bookcases"/>
    <n v="36.58"/>
    <n v="8"/>
    <n v="-0.98"/>
  </r>
  <r>
    <s v="ORD-1956"/>
    <s v="2025-06-09"/>
    <x v="1"/>
    <s v="Corporate"/>
    <x v="0"/>
    <s v="Tables"/>
    <n v="102.47"/>
    <n v="6"/>
    <n v="-0.01"/>
  </r>
  <r>
    <s v="ORD-1957"/>
    <s v="2025-06-09"/>
    <x v="1"/>
    <s v="Home Office"/>
    <x v="2"/>
    <s v="Phones"/>
    <n v="258.14"/>
    <n v="7"/>
    <n v="55.7"/>
  </r>
  <r>
    <s v="ORD-1958"/>
    <s v="2025-06-09"/>
    <x v="0"/>
    <s v="Home Office"/>
    <x v="2"/>
    <s v="Laptops"/>
    <n v="42.86"/>
    <n v="7"/>
    <n v="11.55"/>
  </r>
  <r>
    <s v="ORD-1959"/>
    <s v="2025-06-09"/>
    <x v="0"/>
    <s v="Corporate"/>
    <x v="1"/>
    <s v="Binders"/>
    <n v="40.94"/>
    <n v="6"/>
    <n v="8.34"/>
  </r>
  <r>
    <s v="ORD-1960"/>
    <s v="2025-06-10"/>
    <x v="2"/>
    <s v="Corporate"/>
    <x v="2"/>
    <s v="Accessories"/>
    <n v="174.68"/>
    <n v="9"/>
    <n v="33.57"/>
  </r>
  <r>
    <s v="ORD-1961"/>
    <s v="2025-06-10"/>
    <x v="3"/>
    <s v="Consumer"/>
    <x v="1"/>
    <s v="Paper"/>
    <n v="52.94"/>
    <n v="9"/>
    <n v="7.53"/>
  </r>
  <r>
    <s v="ORD-1962"/>
    <s v="2025-06-10"/>
    <x v="1"/>
    <s v="Corporate"/>
    <x v="2"/>
    <s v="Laptops"/>
    <n v="35.409999999999997"/>
    <n v="7"/>
    <n v="8.65"/>
  </r>
  <r>
    <s v="ORD-1963"/>
    <s v="2025-06-10"/>
    <x v="0"/>
    <s v="Consumer"/>
    <x v="0"/>
    <s v="Chairs"/>
    <n v="47.38"/>
    <n v="9"/>
    <n v="1.55"/>
  </r>
  <r>
    <s v="ORD-1964"/>
    <s v="2025-06-10"/>
    <x v="1"/>
    <s v="Consumer"/>
    <x v="2"/>
    <s v="Laptops"/>
    <n v="406.02"/>
    <n v="3"/>
    <n v="58.22"/>
  </r>
  <r>
    <s v="ORD-1965"/>
    <s v="2025-06-10"/>
    <x v="1"/>
    <s v="Corporate"/>
    <x v="0"/>
    <s v="Tables"/>
    <n v="278.45"/>
    <n v="3"/>
    <n v="-15.36"/>
  </r>
  <r>
    <s v="ORD-1966"/>
    <s v="2025-06-11"/>
    <x v="0"/>
    <s v="Corporate"/>
    <x v="1"/>
    <s v="Storage"/>
    <n v="85.56"/>
    <n v="1"/>
    <n v="29.19"/>
  </r>
  <r>
    <s v="ORD-1967"/>
    <s v="2025-06-11"/>
    <x v="2"/>
    <s v="Consumer"/>
    <x v="2"/>
    <s v="Phones"/>
    <n v="179.99"/>
    <n v="5"/>
    <n v="65.95"/>
  </r>
  <r>
    <s v="ORD-1968"/>
    <s v="2025-06-11"/>
    <x v="1"/>
    <s v="Home Office"/>
    <x v="0"/>
    <s v="Bookcases"/>
    <n v="135.59"/>
    <n v="4"/>
    <n v="11.51"/>
  </r>
  <r>
    <s v="ORD-1969"/>
    <s v="2025-06-11"/>
    <x v="2"/>
    <s v="Consumer"/>
    <x v="0"/>
    <s v="Tables"/>
    <n v="189.57"/>
    <n v="2"/>
    <n v="-9.02"/>
  </r>
  <r>
    <s v="ORD-1970"/>
    <s v="2025-06-11"/>
    <x v="0"/>
    <s v="Consumer"/>
    <x v="1"/>
    <s v="Binders"/>
    <n v="192.17"/>
    <n v="9"/>
    <n v="34.99"/>
  </r>
  <r>
    <s v="ORD-1971"/>
    <s v="2025-06-11"/>
    <x v="3"/>
    <s v="Consumer"/>
    <x v="1"/>
    <s v="Binders"/>
    <n v="168.63"/>
    <n v="3"/>
    <n v="42.2"/>
  </r>
  <r>
    <s v="ORD-1972"/>
    <s v="2025-06-12"/>
    <x v="3"/>
    <s v="Corporate"/>
    <x v="1"/>
    <s v="Binders"/>
    <n v="66.41"/>
    <n v="8"/>
    <n v="20.32"/>
  </r>
  <r>
    <s v="ORD-1973"/>
    <s v="2025-06-12"/>
    <x v="1"/>
    <s v="Corporate"/>
    <x v="2"/>
    <s v="Phones"/>
    <n v="25.97"/>
    <n v="6"/>
    <n v="1.42"/>
  </r>
  <r>
    <s v="ORD-1974"/>
    <s v="2025-06-12"/>
    <x v="0"/>
    <s v="Consumer"/>
    <x v="2"/>
    <s v="Phones"/>
    <n v="111.2"/>
    <n v="5"/>
    <n v="13.17"/>
  </r>
  <r>
    <s v="ORD-1975"/>
    <s v="2025-06-12"/>
    <x v="2"/>
    <s v="Corporate"/>
    <x v="2"/>
    <s v="Accessories"/>
    <n v="352.43"/>
    <n v="1"/>
    <n v="134.26"/>
  </r>
  <r>
    <s v="ORD-1976"/>
    <s v="2025-06-12"/>
    <x v="1"/>
    <s v="Consumer"/>
    <x v="0"/>
    <s v="Tables"/>
    <n v="146.41999999999999"/>
    <n v="4"/>
    <n v="-11.38"/>
  </r>
  <r>
    <s v="ORD-1977"/>
    <s v="2025-06-12"/>
    <x v="0"/>
    <s v="Corporate"/>
    <x v="2"/>
    <s v="Laptops"/>
    <n v="287.92"/>
    <n v="3"/>
    <n v="52.64"/>
  </r>
  <r>
    <s v="ORD-1978"/>
    <s v="2025-06-13"/>
    <x v="0"/>
    <s v="Consumer"/>
    <x v="0"/>
    <s v="Bookcases"/>
    <n v="737.36"/>
    <n v="1"/>
    <n v="-129.34"/>
  </r>
  <r>
    <s v="ORD-1979"/>
    <s v="2025-06-13"/>
    <x v="2"/>
    <s v="Consumer"/>
    <x v="0"/>
    <s v="Bookcases"/>
    <n v="46.8"/>
    <n v="5"/>
    <n v="-4.9400000000000004"/>
  </r>
  <r>
    <s v="ORD-1980"/>
    <s v="2025-06-13"/>
    <x v="1"/>
    <s v="Home Office"/>
    <x v="0"/>
    <s v="Tables"/>
    <n v="196.54"/>
    <n v="6"/>
    <n v="-37.39"/>
  </r>
  <r>
    <s v="ORD-1981"/>
    <s v="2025-06-13"/>
    <x v="0"/>
    <s v="Consumer"/>
    <x v="1"/>
    <s v="Storage"/>
    <n v="188.26"/>
    <n v="2"/>
    <n v="67.61"/>
  </r>
  <r>
    <s v="ORD-1982"/>
    <s v="2025-06-13"/>
    <x v="0"/>
    <s v="Consumer"/>
    <x v="2"/>
    <s v="Phones"/>
    <n v="606.47"/>
    <n v="3"/>
    <n v="150.26"/>
  </r>
  <r>
    <s v="ORD-1983"/>
    <s v="2025-06-13"/>
    <x v="0"/>
    <s v="Corporate"/>
    <x v="2"/>
    <s v="Laptops"/>
    <n v="656.09"/>
    <n v="6"/>
    <n v="160.22"/>
  </r>
  <r>
    <s v="ORD-1984"/>
    <s v="2025-06-14"/>
    <x v="2"/>
    <s v="Home Office"/>
    <x v="1"/>
    <s v="Binders"/>
    <n v="194.08"/>
    <n v="4"/>
    <n v="40.53"/>
  </r>
  <r>
    <s v="ORD-1985"/>
    <s v="2025-06-14"/>
    <x v="1"/>
    <s v="Consumer"/>
    <x v="0"/>
    <s v="Bookcases"/>
    <n v="61.88"/>
    <n v="9"/>
    <n v="2.86"/>
  </r>
  <r>
    <s v="ORD-1986"/>
    <s v="2025-06-14"/>
    <x v="1"/>
    <s v="Consumer"/>
    <x v="1"/>
    <s v="Binders"/>
    <n v="260.33999999999997"/>
    <n v="5"/>
    <n v="63.68"/>
  </r>
  <r>
    <s v="ORD-1987"/>
    <s v="2025-06-14"/>
    <x v="1"/>
    <s v="Consumer"/>
    <x v="0"/>
    <s v="Tables"/>
    <n v="36.979999999999997"/>
    <n v="4"/>
    <n v="2.12"/>
  </r>
  <r>
    <s v="ORD-1988"/>
    <s v="2025-06-14"/>
    <x v="1"/>
    <s v="Corporate"/>
    <x v="2"/>
    <s v="Phones"/>
    <n v="247.6"/>
    <n v="2"/>
    <n v="46.28"/>
  </r>
  <r>
    <s v="ORD-1989"/>
    <s v="2025-06-14"/>
    <x v="3"/>
    <s v="Consumer"/>
    <x v="1"/>
    <s v="Binders"/>
    <n v="381.52"/>
    <n v="6"/>
    <n v="45.86"/>
  </r>
  <r>
    <s v="ORD-1990"/>
    <s v="2025-06-15"/>
    <x v="3"/>
    <s v="Corporate"/>
    <x v="1"/>
    <s v="Paper"/>
    <n v="92.39"/>
    <n v="2"/>
    <n v="20.96"/>
  </r>
  <r>
    <s v="ORD-1991"/>
    <s v="2025-06-15"/>
    <x v="1"/>
    <s v="Home Office"/>
    <x v="1"/>
    <s v="Binders"/>
    <n v="169.4"/>
    <n v="7"/>
    <n v="16.48"/>
  </r>
  <r>
    <s v="ORD-1992"/>
    <s v="2025-06-15"/>
    <x v="2"/>
    <s v="Consumer"/>
    <x v="2"/>
    <s v="Laptops"/>
    <n v="104.36"/>
    <n v="3"/>
    <n v="26.04"/>
  </r>
  <r>
    <s v="ORD-1993"/>
    <s v="2025-06-15"/>
    <x v="3"/>
    <s v="Consumer"/>
    <x v="0"/>
    <s v="Chairs"/>
    <n v="106.38"/>
    <n v="9"/>
    <n v="-1.08"/>
  </r>
  <r>
    <s v="ORD-1994"/>
    <s v="2025-06-15"/>
    <x v="0"/>
    <s v="Consumer"/>
    <x v="0"/>
    <s v="Bookcases"/>
    <n v="75.739999999999995"/>
    <n v="5"/>
    <n v="2.16"/>
  </r>
  <r>
    <s v="ORD-1995"/>
    <s v="2025-06-15"/>
    <x v="3"/>
    <s v="Consumer"/>
    <x v="2"/>
    <s v="Phones"/>
    <n v="235.4"/>
    <n v="8"/>
    <n v="17"/>
  </r>
  <r>
    <s v="ORD-1996"/>
    <s v="2025-06-16"/>
    <x v="0"/>
    <s v="Home Office"/>
    <x v="1"/>
    <s v="Storage"/>
    <n v="432.75"/>
    <n v="6"/>
    <n v="95.84"/>
  </r>
  <r>
    <s v="ORD-1997"/>
    <s v="2025-06-16"/>
    <x v="1"/>
    <s v="Consumer"/>
    <x v="2"/>
    <s v="Phones"/>
    <n v="443.9"/>
    <n v="8"/>
    <n v="100.6"/>
  </r>
  <r>
    <s v="ORD-1998"/>
    <s v="2025-06-16"/>
    <x v="3"/>
    <s v="Consumer"/>
    <x v="1"/>
    <s v="Paper"/>
    <n v="48.82"/>
    <n v="3"/>
    <n v="10.78"/>
  </r>
  <r>
    <s v="ORD-1999"/>
    <s v="2025-06-16"/>
    <x v="2"/>
    <s v="Corporate"/>
    <x v="0"/>
    <s v="Tables"/>
    <n v="331.61"/>
    <n v="3"/>
    <n v="9.18"/>
  </r>
  <r>
    <s v="ORD-2000"/>
    <s v="2025-06-16"/>
    <x v="3"/>
    <s v="Consumer"/>
    <x v="2"/>
    <s v="Phones"/>
    <n v="220.59"/>
    <n v="5"/>
    <n v="90.62"/>
  </r>
  <r>
    <s v="ORD-2001"/>
    <s v="2025-06-16"/>
    <x v="3"/>
    <s v="Corporate"/>
    <x v="0"/>
    <s v="Bookcases"/>
    <n v="63.72"/>
    <n v="3"/>
    <n v="5.44"/>
  </r>
  <r>
    <s v="ORD-2002"/>
    <s v="2025-06-17"/>
    <x v="3"/>
    <s v="Consumer"/>
    <x v="1"/>
    <s v="Storage"/>
    <n v="30.45"/>
    <n v="8"/>
    <n v="8.67"/>
  </r>
  <r>
    <s v="ORD-2003"/>
    <s v="2025-06-17"/>
    <x v="1"/>
    <s v="Home Office"/>
    <x v="1"/>
    <s v="Binders"/>
    <n v="66.8"/>
    <n v="8"/>
    <n v="19.66"/>
  </r>
  <r>
    <s v="ORD-2004"/>
    <s v="2025-06-17"/>
    <x v="2"/>
    <s v="Home Office"/>
    <x v="1"/>
    <s v="Storage"/>
    <n v="384.92"/>
    <n v="2"/>
    <n v="68.95"/>
  </r>
  <r>
    <s v="ORD-2005"/>
    <s v="2025-06-17"/>
    <x v="3"/>
    <s v="Corporate"/>
    <x v="1"/>
    <s v="Binders"/>
    <n v="170.43"/>
    <n v="4"/>
    <n v="26.11"/>
  </r>
  <r>
    <s v="ORD-2006"/>
    <s v="2025-06-17"/>
    <x v="2"/>
    <s v="Home Office"/>
    <x v="1"/>
    <s v="Paper"/>
    <n v="211.51"/>
    <n v="1"/>
    <n v="50.19"/>
  </r>
  <r>
    <s v="ORD-2007"/>
    <s v="2025-06-17"/>
    <x v="1"/>
    <s v="Consumer"/>
    <x v="1"/>
    <s v="Binders"/>
    <n v="64.59"/>
    <n v="4"/>
    <n v="14.42"/>
  </r>
  <r>
    <s v="ORD-2008"/>
    <s v="2025-06-18"/>
    <x v="0"/>
    <s v="Consumer"/>
    <x v="2"/>
    <s v="Phones"/>
    <n v="210.62"/>
    <n v="4"/>
    <n v="46.15"/>
  </r>
  <r>
    <s v="ORD-2009"/>
    <s v="2025-06-18"/>
    <x v="3"/>
    <s v="Corporate"/>
    <x v="0"/>
    <s v="Tables"/>
    <n v="24.28"/>
    <n v="9"/>
    <n v="-0.23"/>
  </r>
  <r>
    <s v="ORD-2010"/>
    <s v="2025-06-18"/>
    <x v="2"/>
    <s v="Corporate"/>
    <x v="2"/>
    <s v="Laptops"/>
    <n v="90.58"/>
    <n v="3"/>
    <n v="22.33"/>
  </r>
  <r>
    <s v="ORD-2011"/>
    <s v="2025-06-18"/>
    <x v="2"/>
    <s v="Consumer"/>
    <x v="1"/>
    <s v="Binders"/>
    <n v="167.83"/>
    <n v="2"/>
    <n v="10.84"/>
  </r>
  <r>
    <s v="ORD-2012"/>
    <s v="2025-06-18"/>
    <x v="1"/>
    <s v="Consumer"/>
    <x v="1"/>
    <s v="Binders"/>
    <n v="43.69"/>
    <n v="9"/>
    <n v="12.19"/>
  </r>
  <r>
    <s v="ORD-2013"/>
    <s v="2025-06-18"/>
    <x v="3"/>
    <s v="Consumer"/>
    <x v="2"/>
    <s v="Laptops"/>
    <n v="279.74"/>
    <n v="9"/>
    <n v="71.48"/>
  </r>
  <r>
    <s v="ORD-2014"/>
    <s v="2025-06-19"/>
    <x v="0"/>
    <s v="Consumer"/>
    <x v="1"/>
    <s v="Binders"/>
    <n v="60.19"/>
    <n v="1"/>
    <n v="21.36"/>
  </r>
  <r>
    <s v="ORD-2015"/>
    <s v="2025-06-19"/>
    <x v="2"/>
    <s v="Consumer"/>
    <x v="1"/>
    <s v="Paper"/>
    <n v="178.45"/>
    <n v="6"/>
    <n v="-2.2400000000000002"/>
  </r>
  <r>
    <s v="ORD-2016"/>
    <s v="2025-06-19"/>
    <x v="3"/>
    <s v="Corporate"/>
    <x v="2"/>
    <s v="Accessories"/>
    <n v="97.93"/>
    <n v="8"/>
    <n v="19.03"/>
  </r>
  <r>
    <s v="ORD-2017"/>
    <s v="2025-06-19"/>
    <x v="0"/>
    <s v="Consumer"/>
    <x v="0"/>
    <s v="Tables"/>
    <n v="155.97"/>
    <n v="3"/>
    <n v="-7.29"/>
  </r>
  <r>
    <s v="ORD-2018"/>
    <s v="2025-06-19"/>
    <x v="2"/>
    <s v="Consumer"/>
    <x v="1"/>
    <s v="Paper"/>
    <n v="37.049999999999997"/>
    <n v="9"/>
    <n v="9.77"/>
  </r>
  <r>
    <s v="ORD-2019"/>
    <s v="2025-06-19"/>
    <x v="2"/>
    <s v="Corporate"/>
    <x v="2"/>
    <s v="Phones"/>
    <n v="22.56"/>
    <n v="2"/>
    <n v="6.54"/>
  </r>
  <r>
    <s v="ORD-2020"/>
    <s v="2025-06-20"/>
    <x v="0"/>
    <s v="Corporate"/>
    <x v="1"/>
    <s v="Paper"/>
    <n v="380.47"/>
    <n v="6"/>
    <n v="68.88"/>
  </r>
  <r>
    <s v="ORD-2021"/>
    <s v="2025-06-20"/>
    <x v="0"/>
    <s v="Home Office"/>
    <x v="2"/>
    <s v="Laptops"/>
    <n v="67.13"/>
    <n v="1"/>
    <n v="9.2200000000000006"/>
  </r>
  <r>
    <s v="ORD-2022"/>
    <s v="2025-06-20"/>
    <x v="1"/>
    <s v="Corporate"/>
    <x v="1"/>
    <s v="Binders"/>
    <n v="276.95"/>
    <n v="7"/>
    <n v="9.5"/>
  </r>
  <r>
    <s v="ORD-2023"/>
    <s v="2025-06-20"/>
    <x v="3"/>
    <s v="Consumer"/>
    <x v="1"/>
    <s v="Paper"/>
    <n v="1120.8499999999999"/>
    <n v="3"/>
    <n v="204.28"/>
  </r>
  <r>
    <s v="ORD-2024"/>
    <s v="2025-06-20"/>
    <x v="3"/>
    <s v="Home Office"/>
    <x v="1"/>
    <s v="Binders"/>
    <n v="55.63"/>
    <n v="7"/>
    <n v="0.76"/>
  </r>
  <r>
    <s v="ORD-2025"/>
    <s v="2025-06-20"/>
    <x v="1"/>
    <s v="Corporate"/>
    <x v="0"/>
    <s v="Tables"/>
    <n v="66.22"/>
    <n v="4"/>
    <n v="-6.83"/>
  </r>
  <r>
    <s v="ORD-2026"/>
    <s v="2025-06-21"/>
    <x v="2"/>
    <s v="Consumer"/>
    <x v="1"/>
    <s v="Binders"/>
    <n v="183.09"/>
    <n v="9"/>
    <n v="36.630000000000003"/>
  </r>
  <r>
    <s v="ORD-2027"/>
    <s v="2025-06-21"/>
    <x v="0"/>
    <s v="Corporate"/>
    <x v="1"/>
    <s v="Storage"/>
    <n v="524.79999999999995"/>
    <n v="5"/>
    <n v="27.17"/>
  </r>
  <r>
    <s v="ORD-2028"/>
    <s v="2025-06-21"/>
    <x v="0"/>
    <s v="Home Office"/>
    <x v="0"/>
    <s v="Chairs"/>
    <n v="391.21"/>
    <n v="3"/>
    <n v="43.24"/>
  </r>
  <r>
    <s v="ORD-2029"/>
    <s v="2025-06-21"/>
    <x v="0"/>
    <s v="Consumer"/>
    <x v="1"/>
    <s v="Paper"/>
    <n v="124.84"/>
    <n v="8"/>
    <n v="34.01"/>
  </r>
  <r>
    <s v="ORD-2030"/>
    <s v="2025-06-21"/>
    <x v="2"/>
    <s v="Consumer"/>
    <x v="2"/>
    <s v="Accessories"/>
    <n v="257.79000000000002"/>
    <n v="6"/>
    <n v="23.94"/>
  </r>
  <r>
    <s v="ORD-2031"/>
    <s v="2025-06-21"/>
    <x v="0"/>
    <s v="Consumer"/>
    <x v="0"/>
    <s v="Tables"/>
    <n v="41.88"/>
    <n v="2"/>
    <n v="-6"/>
  </r>
  <r>
    <s v="ORD-2032"/>
    <s v="2025-06-22"/>
    <x v="0"/>
    <s v="Consumer"/>
    <x v="2"/>
    <s v="Laptops"/>
    <n v="588.72"/>
    <n v="3"/>
    <n v="12.61"/>
  </r>
  <r>
    <s v="ORD-2033"/>
    <s v="2025-06-22"/>
    <x v="1"/>
    <s v="Consumer"/>
    <x v="2"/>
    <s v="Accessories"/>
    <n v="520.11"/>
    <n v="8"/>
    <n v="89.32"/>
  </r>
  <r>
    <s v="ORD-2034"/>
    <s v="2025-06-22"/>
    <x v="2"/>
    <s v="Corporate"/>
    <x v="2"/>
    <s v="Phones"/>
    <n v="46.82"/>
    <n v="7"/>
    <n v="15.29"/>
  </r>
  <r>
    <s v="ORD-2035"/>
    <s v="2025-06-22"/>
    <x v="3"/>
    <s v="Consumer"/>
    <x v="1"/>
    <s v="Binders"/>
    <n v="73.38"/>
    <n v="6"/>
    <n v="7.97"/>
  </r>
  <r>
    <s v="ORD-2036"/>
    <s v="2025-06-22"/>
    <x v="1"/>
    <s v="Home Office"/>
    <x v="0"/>
    <s v="Tables"/>
    <n v="35.83"/>
    <n v="1"/>
    <n v="-0.14000000000000001"/>
  </r>
  <r>
    <s v="ORD-2037"/>
    <s v="2025-06-22"/>
    <x v="1"/>
    <s v="Corporate"/>
    <x v="1"/>
    <s v="Binders"/>
    <n v="67.56"/>
    <n v="9"/>
    <n v="-0.15"/>
  </r>
  <r>
    <s v="ORD-2038"/>
    <s v="2025-06-23"/>
    <x v="3"/>
    <s v="Corporate"/>
    <x v="2"/>
    <s v="Laptops"/>
    <n v="273.89"/>
    <n v="3"/>
    <n v="90.33"/>
  </r>
  <r>
    <s v="ORD-2039"/>
    <s v="2025-06-23"/>
    <x v="1"/>
    <s v="Home Office"/>
    <x v="0"/>
    <s v="Tables"/>
    <n v="91.3"/>
    <n v="5"/>
    <n v="-9.6300000000000008"/>
  </r>
  <r>
    <s v="ORD-2040"/>
    <s v="2025-06-23"/>
    <x v="2"/>
    <s v="Consumer"/>
    <x v="0"/>
    <s v="Bookcases"/>
    <n v="33.880000000000003"/>
    <n v="7"/>
    <n v="-1.65"/>
  </r>
  <r>
    <s v="ORD-2041"/>
    <s v="2025-06-23"/>
    <x v="0"/>
    <s v="Consumer"/>
    <x v="1"/>
    <s v="Storage"/>
    <n v="82.83"/>
    <n v="7"/>
    <n v="11.66"/>
  </r>
  <r>
    <s v="ORD-2042"/>
    <s v="2025-06-23"/>
    <x v="2"/>
    <s v="Corporate"/>
    <x v="0"/>
    <s v="Chairs"/>
    <n v="617.54999999999995"/>
    <n v="3"/>
    <n v="-109.4"/>
  </r>
  <r>
    <s v="ORD-2043"/>
    <s v="2025-06-23"/>
    <x v="3"/>
    <s v="Home Office"/>
    <x v="1"/>
    <s v="Binders"/>
    <n v="169.01"/>
    <n v="4"/>
    <n v="5.86"/>
  </r>
  <r>
    <s v="ORD-2044"/>
    <s v="2025-06-24"/>
    <x v="3"/>
    <s v="Corporate"/>
    <x v="1"/>
    <s v="Paper"/>
    <n v="100.72"/>
    <n v="7"/>
    <n v="24.86"/>
  </r>
  <r>
    <s v="ORD-2045"/>
    <s v="2025-06-24"/>
    <x v="1"/>
    <s v="Consumer"/>
    <x v="1"/>
    <s v="Binders"/>
    <n v="47.33"/>
    <n v="8"/>
    <n v="8.99"/>
  </r>
  <r>
    <s v="ORD-2046"/>
    <s v="2025-06-24"/>
    <x v="2"/>
    <s v="Home Office"/>
    <x v="2"/>
    <s v="Phones"/>
    <n v="662.21"/>
    <n v="2"/>
    <n v="235.09"/>
  </r>
  <r>
    <s v="ORD-2047"/>
    <s v="2025-06-24"/>
    <x v="2"/>
    <s v="Consumer"/>
    <x v="2"/>
    <s v="Laptops"/>
    <n v="277.93"/>
    <n v="9"/>
    <n v="78.510000000000005"/>
  </r>
  <r>
    <s v="ORD-2048"/>
    <s v="2025-06-24"/>
    <x v="3"/>
    <s v="Home Office"/>
    <x v="1"/>
    <s v="Binders"/>
    <n v="69.58"/>
    <n v="7"/>
    <n v="11.43"/>
  </r>
  <r>
    <s v="ORD-2049"/>
    <s v="2025-06-24"/>
    <x v="2"/>
    <s v="Home Office"/>
    <x v="2"/>
    <s v="Phones"/>
    <n v="30.9"/>
    <n v="8"/>
    <n v="2.39"/>
  </r>
  <r>
    <s v="ORD-2050"/>
    <s v="2025-06-25"/>
    <x v="3"/>
    <s v="Consumer"/>
    <x v="1"/>
    <s v="Binders"/>
    <n v="28.74"/>
    <n v="6"/>
    <n v="3.53"/>
  </r>
  <r>
    <s v="ORD-2051"/>
    <s v="2025-06-25"/>
    <x v="2"/>
    <s v="Corporate"/>
    <x v="0"/>
    <s v="Bookcases"/>
    <n v="39.24"/>
    <n v="6"/>
    <n v="-2.0699999999999998"/>
  </r>
  <r>
    <s v="ORD-2052"/>
    <s v="2025-06-25"/>
    <x v="2"/>
    <s v="Consumer"/>
    <x v="1"/>
    <s v="Paper"/>
    <n v="150.4"/>
    <n v="9"/>
    <n v="51.93"/>
  </r>
  <r>
    <s v="ORD-2053"/>
    <s v="2025-06-25"/>
    <x v="2"/>
    <s v="Consumer"/>
    <x v="1"/>
    <s v="Paper"/>
    <n v="416.26"/>
    <n v="4"/>
    <n v="91.03"/>
  </r>
  <r>
    <s v="ORD-2054"/>
    <s v="2025-06-25"/>
    <x v="3"/>
    <s v="Corporate"/>
    <x v="1"/>
    <s v="Storage"/>
    <n v="123"/>
    <n v="5"/>
    <n v="37.340000000000003"/>
  </r>
  <r>
    <s v="ORD-2055"/>
    <s v="2025-06-25"/>
    <x v="1"/>
    <s v="Corporate"/>
    <x v="0"/>
    <s v="Chairs"/>
    <n v="297.67"/>
    <n v="9"/>
    <n v="2.9"/>
  </r>
  <r>
    <s v="ORD-2056"/>
    <s v="2025-06-26"/>
    <x v="2"/>
    <s v="Home Office"/>
    <x v="1"/>
    <s v="Storage"/>
    <n v="108.56"/>
    <n v="1"/>
    <n v="8.56"/>
  </r>
  <r>
    <s v="ORD-2057"/>
    <s v="2025-06-26"/>
    <x v="3"/>
    <s v="Corporate"/>
    <x v="0"/>
    <s v="Tables"/>
    <n v="204.95"/>
    <n v="4"/>
    <n v="-7.85"/>
  </r>
  <r>
    <s v="ORD-2058"/>
    <s v="2025-06-26"/>
    <x v="3"/>
    <s v="Consumer"/>
    <x v="0"/>
    <s v="Chairs"/>
    <n v="217.44"/>
    <n v="7"/>
    <n v="-5.74"/>
  </r>
  <r>
    <s v="ORD-2059"/>
    <s v="2025-06-26"/>
    <x v="2"/>
    <s v="Home Office"/>
    <x v="1"/>
    <s v="Storage"/>
    <n v="48.67"/>
    <n v="9"/>
    <n v="2.73"/>
  </r>
  <r>
    <s v="ORD-2060"/>
    <s v="2025-06-26"/>
    <x v="2"/>
    <s v="Home Office"/>
    <x v="1"/>
    <s v="Storage"/>
    <n v="87.23"/>
    <n v="6"/>
    <n v="9.73"/>
  </r>
  <r>
    <s v="ORD-2061"/>
    <s v="2025-06-26"/>
    <x v="1"/>
    <s v="Consumer"/>
    <x v="1"/>
    <s v="Paper"/>
    <n v="172.13"/>
    <n v="8"/>
    <n v="22.28"/>
  </r>
  <r>
    <s v="ORD-2062"/>
    <s v="2025-06-27"/>
    <x v="3"/>
    <s v="Home Office"/>
    <x v="1"/>
    <s v="Binders"/>
    <n v="31"/>
    <n v="9"/>
    <n v="9.6300000000000008"/>
  </r>
  <r>
    <s v="ORD-2063"/>
    <s v="2025-06-27"/>
    <x v="3"/>
    <s v="Consumer"/>
    <x v="0"/>
    <s v="Chairs"/>
    <n v="87.3"/>
    <n v="4"/>
    <n v="-22.53"/>
  </r>
  <r>
    <s v="ORD-2064"/>
    <s v="2025-06-27"/>
    <x v="0"/>
    <s v="Home Office"/>
    <x v="0"/>
    <s v="Bookcases"/>
    <n v="134.79"/>
    <n v="1"/>
    <n v="9.51"/>
  </r>
  <r>
    <s v="ORD-2065"/>
    <s v="2025-06-27"/>
    <x v="3"/>
    <s v="Consumer"/>
    <x v="1"/>
    <s v="Storage"/>
    <n v="856.88"/>
    <n v="8"/>
    <n v="48.26"/>
  </r>
  <r>
    <s v="ORD-2066"/>
    <s v="2025-06-27"/>
    <x v="1"/>
    <s v="Consumer"/>
    <x v="2"/>
    <s v="Laptops"/>
    <n v="116.52"/>
    <n v="2"/>
    <n v="13.14"/>
  </r>
  <r>
    <s v="ORD-2067"/>
    <s v="2025-06-27"/>
    <x v="0"/>
    <s v="Consumer"/>
    <x v="2"/>
    <s v="Accessories"/>
    <n v="273.97000000000003"/>
    <n v="1"/>
    <n v="100.82"/>
  </r>
  <r>
    <s v="ORD-2068"/>
    <s v="2025-06-28"/>
    <x v="0"/>
    <s v="Corporate"/>
    <x v="0"/>
    <s v="Tables"/>
    <n v="104.86"/>
    <n v="7"/>
    <n v="2.4300000000000002"/>
  </r>
  <r>
    <s v="ORD-2069"/>
    <s v="2025-06-28"/>
    <x v="0"/>
    <s v="Consumer"/>
    <x v="2"/>
    <s v="Phones"/>
    <n v="258.73"/>
    <n v="9"/>
    <n v="97.14"/>
  </r>
  <r>
    <s v="ORD-2070"/>
    <s v="2025-06-28"/>
    <x v="2"/>
    <s v="Consumer"/>
    <x v="2"/>
    <s v="Laptops"/>
    <n v="155.72999999999999"/>
    <n v="9"/>
    <n v="51.4"/>
  </r>
  <r>
    <s v="ORD-2071"/>
    <s v="2025-06-28"/>
    <x v="2"/>
    <s v="Corporate"/>
    <x v="2"/>
    <s v="Accessories"/>
    <n v="346.52"/>
    <n v="3"/>
    <n v="158.01"/>
  </r>
  <r>
    <s v="ORD-2072"/>
    <s v="2025-06-28"/>
    <x v="3"/>
    <s v="Home Office"/>
    <x v="2"/>
    <s v="Phones"/>
    <n v="99.38"/>
    <n v="6"/>
    <n v="30.4"/>
  </r>
  <r>
    <s v="ORD-2073"/>
    <s v="2025-06-28"/>
    <x v="0"/>
    <s v="Consumer"/>
    <x v="2"/>
    <s v="Phones"/>
    <n v="159.07"/>
    <n v="7"/>
    <n v="37.28"/>
  </r>
  <r>
    <s v="ORD-2074"/>
    <s v="2025-06-29"/>
    <x v="1"/>
    <s v="Consumer"/>
    <x v="1"/>
    <s v="Paper"/>
    <n v="169.15"/>
    <n v="9"/>
    <n v="31.17"/>
  </r>
  <r>
    <s v="ORD-2075"/>
    <s v="2025-06-29"/>
    <x v="2"/>
    <s v="Consumer"/>
    <x v="0"/>
    <s v="Tables"/>
    <n v="101.03"/>
    <n v="2"/>
    <n v="7.51"/>
  </r>
  <r>
    <s v="ORD-2076"/>
    <s v="2025-06-29"/>
    <x v="1"/>
    <s v="Consumer"/>
    <x v="0"/>
    <s v="Chairs"/>
    <n v="43.38"/>
    <n v="8"/>
    <n v="-5.55"/>
  </r>
  <r>
    <s v="ORD-2077"/>
    <s v="2025-06-29"/>
    <x v="1"/>
    <s v="Home Office"/>
    <x v="1"/>
    <s v="Binders"/>
    <n v="34.729999999999997"/>
    <n v="7"/>
    <n v="2.95"/>
  </r>
  <r>
    <s v="ORD-2078"/>
    <s v="2025-06-29"/>
    <x v="2"/>
    <s v="Home Office"/>
    <x v="2"/>
    <s v="Laptops"/>
    <n v="22.52"/>
    <n v="4"/>
    <n v="4.93"/>
  </r>
  <r>
    <s v="ORD-2079"/>
    <s v="2025-06-29"/>
    <x v="2"/>
    <s v="Corporate"/>
    <x v="1"/>
    <s v="Binders"/>
    <n v="330.17"/>
    <n v="2"/>
    <n v="-19.96"/>
  </r>
  <r>
    <s v="ORD-2080"/>
    <s v="2025-06-30"/>
    <x v="2"/>
    <s v="Consumer"/>
    <x v="1"/>
    <s v="Storage"/>
    <n v="60.47"/>
    <n v="8"/>
    <n v="9.91"/>
  </r>
  <r>
    <s v="ORD-2081"/>
    <s v="2025-06-30"/>
    <x v="2"/>
    <s v="Corporate"/>
    <x v="2"/>
    <s v="Accessories"/>
    <n v="55.64"/>
    <n v="5"/>
    <n v="3.42"/>
  </r>
  <r>
    <s v="ORD-2082"/>
    <s v="2025-06-30"/>
    <x v="0"/>
    <s v="Corporate"/>
    <x v="0"/>
    <s v="Chairs"/>
    <n v="219.79"/>
    <n v="6"/>
    <n v="-9.82"/>
  </r>
  <r>
    <s v="ORD-2083"/>
    <s v="2025-06-30"/>
    <x v="0"/>
    <s v="Home Office"/>
    <x v="1"/>
    <s v="Paper"/>
    <n v="77.849999999999994"/>
    <n v="7"/>
    <n v="18.41"/>
  </r>
  <r>
    <s v="ORD-2084"/>
    <s v="2025-06-30"/>
    <x v="0"/>
    <s v="Corporate"/>
    <x v="1"/>
    <s v="Binders"/>
    <n v="125.8"/>
    <n v="1"/>
    <n v="12.87"/>
  </r>
  <r>
    <s v="ORD-2085"/>
    <s v="2025-06-30"/>
    <x v="0"/>
    <s v="Corporate"/>
    <x v="0"/>
    <s v="Bookcases"/>
    <n v="46.6"/>
    <n v="8"/>
    <n v="5.49"/>
  </r>
  <r>
    <s v="ORD-2086"/>
    <s v="2025-07-01"/>
    <x v="3"/>
    <s v="Corporate"/>
    <x v="1"/>
    <s v="Paper"/>
    <n v="501.88"/>
    <n v="4"/>
    <n v="1.98"/>
  </r>
  <r>
    <s v="ORD-2087"/>
    <s v="2025-07-01"/>
    <x v="0"/>
    <s v="Consumer"/>
    <x v="2"/>
    <s v="Accessories"/>
    <n v="306.16000000000003"/>
    <n v="9"/>
    <n v="113.01"/>
  </r>
  <r>
    <s v="ORD-2088"/>
    <s v="2025-07-01"/>
    <x v="2"/>
    <s v="Home Office"/>
    <x v="1"/>
    <s v="Storage"/>
    <n v="319.02999999999997"/>
    <n v="1"/>
    <n v="69.39"/>
  </r>
  <r>
    <s v="ORD-2089"/>
    <s v="2025-07-01"/>
    <x v="1"/>
    <s v="Corporate"/>
    <x v="2"/>
    <s v="Laptops"/>
    <n v="98.33"/>
    <n v="2"/>
    <n v="7.71"/>
  </r>
  <r>
    <s v="ORD-2090"/>
    <s v="2025-07-01"/>
    <x v="0"/>
    <s v="Corporate"/>
    <x v="1"/>
    <s v="Storage"/>
    <n v="235.55"/>
    <n v="6"/>
    <n v="99.19"/>
  </r>
  <r>
    <s v="ORD-2091"/>
    <s v="2025-07-01"/>
    <x v="3"/>
    <s v="Consumer"/>
    <x v="1"/>
    <s v="Storage"/>
    <n v="43.3"/>
    <n v="1"/>
    <n v="6.22"/>
  </r>
  <r>
    <s v="ORD-2092"/>
    <s v="2025-07-02"/>
    <x v="2"/>
    <s v="Corporate"/>
    <x v="1"/>
    <s v="Storage"/>
    <n v="21.3"/>
    <n v="4"/>
    <n v="1.33"/>
  </r>
  <r>
    <s v="ORD-2093"/>
    <s v="2025-07-02"/>
    <x v="1"/>
    <s v="Corporate"/>
    <x v="0"/>
    <s v="Bookcases"/>
    <n v="23.03"/>
    <n v="8"/>
    <n v="-4.3899999999999997"/>
  </r>
  <r>
    <s v="ORD-2094"/>
    <s v="2025-07-02"/>
    <x v="1"/>
    <s v="Consumer"/>
    <x v="2"/>
    <s v="Phones"/>
    <n v="152.5"/>
    <n v="5"/>
    <n v="34.770000000000003"/>
  </r>
  <r>
    <s v="ORD-2095"/>
    <s v="2025-07-02"/>
    <x v="0"/>
    <s v="Consumer"/>
    <x v="2"/>
    <s v="Phones"/>
    <n v="111.15"/>
    <n v="9"/>
    <n v="26.37"/>
  </r>
  <r>
    <s v="ORD-2096"/>
    <s v="2025-07-02"/>
    <x v="1"/>
    <s v="Corporate"/>
    <x v="2"/>
    <s v="Phones"/>
    <n v="129.47999999999999"/>
    <n v="6"/>
    <n v="33.700000000000003"/>
  </r>
  <r>
    <s v="ORD-2097"/>
    <s v="2025-07-02"/>
    <x v="0"/>
    <s v="Corporate"/>
    <x v="2"/>
    <s v="Phones"/>
    <n v="21.12"/>
    <n v="1"/>
    <n v="4.6500000000000004"/>
  </r>
  <r>
    <s v="ORD-2098"/>
    <s v="2025-07-03"/>
    <x v="0"/>
    <s v="Corporate"/>
    <x v="1"/>
    <s v="Storage"/>
    <n v="102.41"/>
    <n v="6"/>
    <n v="21.85"/>
  </r>
  <r>
    <s v="ORD-2099"/>
    <s v="2025-07-03"/>
    <x v="2"/>
    <s v="Consumer"/>
    <x v="0"/>
    <s v="Chairs"/>
    <n v="209.91"/>
    <n v="6"/>
    <n v="-18.63"/>
  </r>
  <r>
    <s v="ORD-2100"/>
    <s v="2025-07-03"/>
    <x v="2"/>
    <s v="Corporate"/>
    <x v="2"/>
    <s v="Laptops"/>
    <n v="107.7"/>
    <n v="6"/>
    <n v="6.09"/>
  </r>
  <r>
    <s v="ORD-2101"/>
    <s v="2025-07-03"/>
    <x v="3"/>
    <s v="Consumer"/>
    <x v="1"/>
    <s v="Storage"/>
    <n v="217.64"/>
    <n v="8"/>
    <n v="29.4"/>
  </r>
  <r>
    <s v="ORD-2102"/>
    <s v="2025-07-03"/>
    <x v="2"/>
    <s v="Consumer"/>
    <x v="1"/>
    <s v="Paper"/>
    <n v="59.79"/>
    <n v="6"/>
    <n v="-5.19"/>
  </r>
  <r>
    <s v="ORD-2103"/>
    <s v="2025-07-03"/>
    <x v="2"/>
    <s v="Consumer"/>
    <x v="1"/>
    <s v="Storage"/>
    <n v="271.61"/>
    <n v="5"/>
    <n v="50.35"/>
  </r>
  <r>
    <s v="ORD-2104"/>
    <s v="2025-07-04"/>
    <x v="0"/>
    <s v="Consumer"/>
    <x v="1"/>
    <s v="Storage"/>
    <n v="153.16999999999999"/>
    <n v="2"/>
    <n v="7.98"/>
  </r>
  <r>
    <s v="ORD-2105"/>
    <s v="2025-07-04"/>
    <x v="2"/>
    <s v="Consumer"/>
    <x v="2"/>
    <s v="Laptops"/>
    <n v="55.5"/>
    <n v="4"/>
    <n v="14.78"/>
  </r>
  <r>
    <s v="ORD-2106"/>
    <s v="2025-07-04"/>
    <x v="0"/>
    <s v="Consumer"/>
    <x v="0"/>
    <s v="Bookcases"/>
    <n v="60.52"/>
    <n v="5"/>
    <n v="4.93"/>
  </r>
  <r>
    <s v="ORD-2107"/>
    <s v="2025-07-04"/>
    <x v="0"/>
    <s v="Consumer"/>
    <x v="1"/>
    <s v="Paper"/>
    <n v="168.34"/>
    <n v="4"/>
    <n v="9.2799999999999994"/>
  </r>
  <r>
    <s v="ORD-2108"/>
    <s v="2025-07-04"/>
    <x v="2"/>
    <s v="Consumer"/>
    <x v="1"/>
    <s v="Paper"/>
    <n v="285.74"/>
    <n v="2"/>
    <n v="73.19"/>
  </r>
  <r>
    <s v="ORD-2109"/>
    <s v="2025-07-04"/>
    <x v="3"/>
    <s v="Corporate"/>
    <x v="2"/>
    <s v="Laptops"/>
    <n v="100.58"/>
    <n v="7"/>
    <n v="20.79"/>
  </r>
  <r>
    <s v="ORD-2110"/>
    <s v="2025-07-05"/>
    <x v="3"/>
    <s v="Consumer"/>
    <x v="1"/>
    <s v="Binders"/>
    <n v="64.819999999999993"/>
    <n v="2"/>
    <n v="21.09"/>
  </r>
  <r>
    <s v="ORD-2111"/>
    <s v="2025-07-05"/>
    <x v="1"/>
    <s v="Consumer"/>
    <x v="2"/>
    <s v="Phones"/>
    <n v="322.62"/>
    <n v="1"/>
    <n v="68.87"/>
  </r>
  <r>
    <s v="ORD-2112"/>
    <s v="2025-07-05"/>
    <x v="1"/>
    <s v="Home Office"/>
    <x v="2"/>
    <s v="Laptops"/>
    <n v="185.97"/>
    <n v="5"/>
    <n v="30.86"/>
  </r>
  <r>
    <s v="ORD-2113"/>
    <s v="2025-07-05"/>
    <x v="2"/>
    <s v="Consumer"/>
    <x v="0"/>
    <s v="Tables"/>
    <n v="109.15"/>
    <n v="1"/>
    <n v="2.04"/>
  </r>
  <r>
    <s v="ORD-2114"/>
    <s v="2025-07-05"/>
    <x v="3"/>
    <s v="Corporate"/>
    <x v="0"/>
    <s v="Chairs"/>
    <n v="120.39"/>
    <n v="1"/>
    <n v="-11.27"/>
  </r>
  <r>
    <s v="ORD-2115"/>
    <s v="2025-07-05"/>
    <x v="0"/>
    <s v="Consumer"/>
    <x v="0"/>
    <s v="Tables"/>
    <n v="54.27"/>
    <n v="1"/>
    <n v="-7.28"/>
  </r>
  <r>
    <s v="ORD-2116"/>
    <s v="2025-07-06"/>
    <x v="1"/>
    <s v="Consumer"/>
    <x v="2"/>
    <s v="Phones"/>
    <n v="167.85"/>
    <n v="6"/>
    <n v="33.94"/>
  </r>
  <r>
    <s v="ORD-2117"/>
    <s v="2025-07-06"/>
    <x v="0"/>
    <s v="Corporate"/>
    <x v="1"/>
    <s v="Binders"/>
    <n v="86.65"/>
    <n v="9"/>
    <n v="12.61"/>
  </r>
  <r>
    <s v="ORD-2118"/>
    <s v="2025-07-06"/>
    <x v="1"/>
    <s v="Corporate"/>
    <x v="2"/>
    <s v="Accessories"/>
    <n v="835.47"/>
    <n v="1"/>
    <n v="321"/>
  </r>
  <r>
    <s v="ORD-2119"/>
    <s v="2025-07-06"/>
    <x v="2"/>
    <s v="Home Office"/>
    <x v="2"/>
    <s v="Phones"/>
    <n v="118.14"/>
    <n v="5"/>
    <n v="6.69"/>
  </r>
  <r>
    <s v="ORD-2120"/>
    <s v="2025-07-06"/>
    <x v="3"/>
    <s v="Corporate"/>
    <x v="1"/>
    <s v="Storage"/>
    <n v="119.8"/>
    <n v="9"/>
    <n v="18.25"/>
  </r>
  <r>
    <s v="ORD-2121"/>
    <s v="2025-07-06"/>
    <x v="1"/>
    <s v="Home Office"/>
    <x v="1"/>
    <s v="Binders"/>
    <n v="145.16"/>
    <n v="9"/>
    <n v="30.85"/>
  </r>
  <r>
    <s v="ORD-2122"/>
    <s v="2025-07-07"/>
    <x v="3"/>
    <s v="Consumer"/>
    <x v="1"/>
    <s v="Binders"/>
    <n v="392.9"/>
    <n v="1"/>
    <n v="66.540000000000006"/>
  </r>
  <r>
    <s v="ORD-2123"/>
    <s v="2025-07-07"/>
    <x v="0"/>
    <s v="Consumer"/>
    <x v="1"/>
    <s v="Binders"/>
    <n v="262.02999999999997"/>
    <n v="8"/>
    <n v="73.63"/>
  </r>
  <r>
    <s v="ORD-2124"/>
    <s v="2025-07-07"/>
    <x v="2"/>
    <s v="Consumer"/>
    <x v="1"/>
    <s v="Paper"/>
    <n v="109.98"/>
    <n v="1"/>
    <n v="15.68"/>
  </r>
  <r>
    <s v="ORD-2125"/>
    <s v="2025-07-07"/>
    <x v="3"/>
    <s v="Consumer"/>
    <x v="0"/>
    <s v="Chairs"/>
    <n v="210.25"/>
    <n v="8"/>
    <n v="-14.39"/>
  </r>
  <r>
    <s v="ORD-2126"/>
    <s v="2025-07-07"/>
    <x v="2"/>
    <s v="Corporate"/>
    <x v="2"/>
    <s v="Laptops"/>
    <n v="152.37"/>
    <n v="1"/>
    <n v="47.12"/>
  </r>
  <r>
    <s v="ORD-2127"/>
    <s v="2025-07-07"/>
    <x v="3"/>
    <s v="Corporate"/>
    <x v="0"/>
    <s v="Tables"/>
    <n v="121.7"/>
    <n v="5"/>
    <n v="-4.88"/>
  </r>
  <r>
    <s v="ORD-2128"/>
    <s v="2025-07-08"/>
    <x v="0"/>
    <s v="Consumer"/>
    <x v="0"/>
    <s v="Tables"/>
    <n v="52.04"/>
    <n v="8"/>
    <n v="-4.63"/>
  </r>
  <r>
    <s v="ORD-2129"/>
    <s v="2025-07-08"/>
    <x v="0"/>
    <s v="Home Office"/>
    <x v="2"/>
    <s v="Accessories"/>
    <n v="113.53"/>
    <n v="6"/>
    <n v="34.24"/>
  </r>
  <r>
    <s v="ORD-2130"/>
    <s v="2025-07-08"/>
    <x v="2"/>
    <s v="Home Office"/>
    <x v="1"/>
    <s v="Binders"/>
    <n v="62.32"/>
    <n v="9"/>
    <n v="5.28"/>
  </r>
  <r>
    <s v="ORD-2131"/>
    <s v="2025-07-08"/>
    <x v="0"/>
    <s v="Consumer"/>
    <x v="0"/>
    <s v="Bookcases"/>
    <n v="389.49"/>
    <n v="1"/>
    <n v="-43.28"/>
  </r>
  <r>
    <s v="ORD-2132"/>
    <s v="2025-07-08"/>
    <x v="1"/>
    <s v="Consumer"/>
    <x v="2"/>
    <s v="Phones"/>
    <n v="81.290000000000006"/>
    <n v="9"/>
    <n v="16.03"/>
  </r>
  <r>
    <s v="ORD-2133"/>
    <s v="2025-07-08"/>
    <x v="3"/>
    <s v="Consumer"/>
    <x v="2"/>
    <s v="Phones"/>
    <n v="476.31"/>
    <n v="1"/>
    <n v="183.53"/>
  </r>
  <r>
    <s v="ORD-2134"/>
    <s v="2025-07-09"/>
    <x v="0"/>
    <s v="Consumer"/>
    <x v="1"/>
    <s v="Binders"/>
    <n v="134.22999999999999"/>
    <n v="3"/>
    <n v="-23.1"/>
  </r>
  <r>
    <s v="ORD-2135"/>
    <s v="2025-07-09"/>
    <x v="1"/>
    <s v="Consumer"/>
    <x v="2"/>
    <s v="Accessories"/>
    <n v="169.77"/>
    <n v="1"/>
    <n v="49.16"/>
  </r>
  <r>
    <s v="ORD-2136"/>
    <s v="2025-07-09"/>
    <x v="2"/>
    <s v="Corporate"/>
    <x v="1"/>
    <s v="Paper"/>
    <n v="137.44"/>
    <n v="3"/>
    <n v="21.09"/>
  </r>
  <r>
    <s v="ORD-2137"/>
    <s v="2025-07-09"/>
    <x v="1"/>
    <s v="Consumer"/>
    <x v="0"/>
    <s v="Tables"/>
    <n v="40.78"/>
    <n v="2"/>
    <n v="-8.89"/>
  </r>
  <r>
    <s v="ORD-2138"/>
    <s v="2025-07-09"/>
    <x v="2"/>
    <s v="Consumer"/>
    <x v="0"/>
    <s v="Chairs"/>
    <n v="90.7"/>
    <n v="2"/>
    <n v="-1.73"/>
  </r>
  <r>
    <s v="ORD-2139"/>
    <s v="2025-07-09"/>
    <x v="2"/>
    <s v="Home Office"/>
    <x v="0"/>
    <s v="Tables"/>
    <n v="35.659999999999997"/>
    <n v="9"/>
    <n v="-0.09"/>
  </r>
  <r>
    <s v="ORD-2140"/>
    <s v="2025-07-10"/>
    <x v="3"/>
    <s v="Corporate"/>
    <x v="1"/>
    <s v="Storage"/>
    <n v="166.31"/>
    <n v="8"/>
    <n v="34.75"/>
  </r>
  <r>
    <s v="ORD-2141"/>
    <s v="2025-07-10"/>
    <x v="3"/>
    <s v="Home Office"/>
    <x v="0"/>
    <s v="Chairs"/>
    <n v="108.83"/>
    <n v="1"/>
    <n v="-34.299999999999997"/>
  </r>
  <r>
    <s v="ORD-2142"/>
    <s v="2025-07-10"/>
    <x v="1"/>
    <s v="Consumer"/>
    <x v="1"/>
    <s v="Paper"/>
    <n v="245.75"/>
    <n v="4"/>
    <n v="70.44"/>
  </r>
  <r>
    <s v="ORD-2143"/>
    <s v="2025-07-10"/>
    <x v="3"/>
    <s v="Consumer"/>
    <x v="0"/>
    <s v="Tables"/>
    <n v="57.36"/>
    <n v="1"/>
    <n v="-7.1"/>
  </r>
  <r>
    <s v="ORD-2144"/>
    <s v="2025-07-10"/>
    <x v="3"/>
    <s v="Corporate"/>
    <x v="2"/>
    <s v="Laptops"/>
    <n v="46.97"/>
    <n v="1"/>
    <n v="14.97"/>
  </r>
  <r>
    <s v="ORD-2145"/>
    <s v="2025-07-10"/>
    <x v="3"/>
    <s v="Consumer"/>
    <x v="1"/>
    <s v="Binders"/>
    <n v="98.22"/>
    <n v="4"/>
    <n v="22.01"/>
  </r>
  <r>
    <s v="ORD-2146"/>
    <s v="2025-07-11"/>
    <x v="1"/>
    <s v="Consumer"/>
    <x v="1"/>
    <s v="Paper"/>
    <n v="411.74"/>
    <n v="2"/>
    <n v="25.66"/>
  </r>
  <r>
    <s v="ORD-2147"/>
    <s v="2025-07-11"/>
    <x v="0"/>
    <s v="Corporate"/>
    <x v="1"/>
    <s v="Storage"/>
    <n v="205.9"/>
    <n v="3"/>
    <n v="44.48"/>
  </r>
  <r>
    <s v="ORD-2148"/>
    <s v="2025-07-11"/>
    <x v="3"/>
    <s v="Corporate"/>
    <x v="1"/>
    <s v="Storage"/>
    <n v="101.43"/>
    <n v="9"/>
    <n v="11.3"/>
  </r>
  <r>
    <s v="ORD-2149"/>
    <s v="2025-07-11"/>
    <x v="3"/>
    <s v="Consumer"/>
    <x v="1"/>
    <s v="Storage"/>
    <n v="129.25"/>
    <n v="2"/>
    <n v="-7.39"/>
  </r>
  <r>
    <s v="ORD-2150"/>
    <s v="2025-07-11"/>
    <x v="1"/>
    <s v="Consumer"/>
    <x v="1"/>
    <s v="Storage"/>
    <n v="33.200000000000003"/>
    <n v="4"/>
    <n v="8.86"/>
  </r>
  <r>
    <s v="ORD-2151"/>
    <s v="2025-07-11"/>
    <x v="0"/>
    <s v="Consumer"/>
    <x v="1"/>
    <s v="Storage"/>
    <n v="645.77"/>
    <n v="1"/>
    <n v="46.82"/>
  </r>
  <r>
    <s v="ORD-2152"/>
    <s v="2025-07-12"/>
    <x v="3"/>
    <s v="Consumer"/>
    <x v="1"/>
    <s v="Binders"/>
    <n v="184.68"/>
    <n v="2"/>
    <n v="11.92"/>
  </r>
  <r>
    <s v="ORD-2153"/>
    <s v="2025-07-12"/>
    <x v="2"/>
    <s v="Consumer"/>
    <x v="1"/>
    <s v="Paper"/>
    <n v="70.41"/>
    <n v="5"/>
    <n v="7.72"/>
  </r>
  <r>
    <s v="ORD-2154"/>
    <s v="2025-07-12"/>
    <x v="1"/>
    <s v="Consumer"/>
    <x v="1"/>
    <s v="Binders"/>
    <n v="152.21"/>
    <n v="1"/>
    <n v="26.98"/>
  </r>
  <r>
    <s v="ORD-2155"/>
    <s v="2025-07-12"/>
    <x v="3"/>
    <s v="Consumer"/>
    <x v="1"/>
    <s v="Storage"/>
    <n v="37.39"/>
    <n v="7"/>
    <n v="5.39"/>
  </r>
  <r>
    <s v="ORD-2156"/>
    <s v="2025-07-12"/>
    <x v="3"/>
    <s v="Home Office"/>
    <x v="2"/>
    <s v="Phones"/>
    <n v="526.49"/>
    <n v="4"/>
    <n v="160.47999999999999"/>
  </r>
  <r>
    <s v="ORD-2157"/>
    <s v="2025-07-12"/>
    <x v="2"/>
    <s v="Corporate"/>
    <x v="1"/>
    <s v="Storage"/>
    <n v="48.82"/>
    <n v="6"/>
    <n v="0.78"/>
  </r>
  <r>
    <s v="ORD-2158"/>
    <s v="2025-07-13"/>
    <x v="2"/>
    <s v="Corporate"/>
    <x v="1"/>
    <s v="Storage"/>
    <n v="176.63"/>
    <n v="8"/>
    <n v="13.38"/>
  </r>
  <r>
    <s v="ORD-2159"/>
    <s v="2025-07-13"/>
    <x v="1"/>
    <s v="Consumer"/>
    <x v="2"/>
    <s v="Accessories"/>
    <n v="62.25"/>
    <n v="6"/>
    <n v="14.84"/>
  </r>
  <r>
    <s v="ORD-2160"/>
    <s v="2025-07-13"/>
    <x v="1"/>
    <s v="Consumer"/>
    <x v="1"/>
    <s v="Storage"/>
    <n v="209.64"/>
    <n v="2"/>
    <n v="71.23"/>
  </r>
  <r>
    <s v="ORD-2161"/>
    <s v="2025-07-13"/>
    <x v="2"/>
    <s v="Consumer"/>
    <x v="2"/>
    <s v="Accessories"/>
    <n v="244.97"/>
    <n v="1"/>
    <n v="58.45"/>
  </r>
  <r>
    <s v="ORD-2162"/>
    <s v="2025-07-13"/>
    <x v="1"/>
    <s v="Consumer"/>
    <x v="0"/>
    <s v="Chairs"/>
    <n v="187.86"/>
    <n v="8"/>
    <n v="10.99"/>
  </r>
  <r>
    <s v="ORD-2163"/>
    <s v="2025-07-13"/>
    <x v="2"/>
    <s v="Consumer"/>
    <x v="1"/>
    <s v="Paper"/>
    <n v="162.97999999999999"/>
    <n v="8"/>
    <n v="25.08"/>
  </r>
  <r>
    <s v="ORD-2164"/>
    <s v="2025-07-14"/>
    <x v="3"/>
    <s v="Corporate"/>
    <x v="2"/>
    <s v="Laptops"/>
    <n v="354.5"/>
    <n v="9"/>
    <n v="71.48"/>
  </r>
  <r>
    <s v="ORD-2165"/>
    <s v="2025-07-14"/>
    <x v="2"/>
    <s v="Corporate"/>
    <x v="1"/>
    <s v="Storage"/>
    <n v="32.28"/>
    <n v="6"/>
    <n v="4.05"/>
  </r>
  <r>
    <s v="ORD-2166"/>
    <s v="2025-07-14"/>
    <x v="2"/>
    <s v="Corporate"/>
    <x v="1"/>
    <s v="Paper"/>
    <n v="80.28"/>
    <n v="1"/>
    <n v="10.69"/>
  </r>
  <r>
    <s v="ORD-2167"/>
    <s v="2025-07-14"/>
    <x v="0"/>
    <s v="Consumer"/>
    <x v="0"/>
    <s v="Bookcases"/>
    <n v="62.81"/>
    <n v="9"/>
    <n v="0.65"/>
  </r>
  <r>
    <s v="ORD-2168"/>
    <s v="2025-07-14"/>
    <x v="2"/>
    <s v="Home Office"/>
    <x v="2"/>
    <s v="Phones"/>
    <n v="683.6"/>
    <n v="3"/>
    <n v="264.87"/>
  </r>
  <r>
    <s v="ORD-2169"/>
    <s v="2025-07-14"/>
    <x v="2"/>
    <s v="Consumer"/>
    <x v="2"/>
    <s v="Phones"/>
    <n v="93.99"/>
    <n v="6"/>
    <n v="26.88"/>
  </r>
  <r>
    <s v="ORD-2170"/>
    <s v="2025-07-15"/>
    <x v="0"/>
    <s v="Consumer"/>
    <x v="1"/>
    <s v="Storage"/>
    <n v="217.86"/>
    <n v="9"/>
    <n v="58.54"/>
  </r>
  <r>
    <s v="ORD-2171"/>
    <s v="2025-07-15"/>
    <x v="1"/>
    <s v="Consumer"/>
    <x v="1"/>
    <s v="Paper"/>
    <n v="193.15"/>
    <n v="3"/>
    <n v="10.34"/>
  </r>
  <r>
    <s v="ORD-2172"/>
    <s v="2025-07-15"/>
    <x v="0"/>
    <s v="Corporate"/>
    <x v="1"/>
    <s v="Paper"/>
    <n v="55.75"/>
    <n v="5"/>
    <n v="6.05"/>
  </r>
  <r>
    <s v="ORD-2173"/>
    <s v="2025-07-15"/>
    <x v="3"/>
    <s v="Home Office"/>
    <x v="2"/>
    <s v="Laptops"/>
    <n v="60.97"/>
    <n v="5"/>
    <n v="10.83"/>
  </r>
  <r>
    <s v="ORD-2174"/>
    <s v="2025-07-15"/>
    <x v="0"/>
    <s v="Consumer"/>
    <x v="1"/>
    <s v="Paper"/>
    <n v="69.540000000000006"/>
    <n v="7"/>
    <n v="12.62"/>
  </r>
  <r>
    <s v="ORD-2175"/>
    <s v="2025-07-15"/>
    <x v="3"/>
    <s v="Home Office"/>
    <x v="0"/>
    <s v="Tables"/>
    <n v="99.43"/>
    <n v="4"/>
    <n v="-8.5399999999999991"/>
  </r>
  <r>
    <s v="ORD-2176"/>
    <s v="2025-07-16"/>
    <x v="1"/>
    <s v="Home Office"/>
    <x v="1"/>
    <s v="Storage"/>
    <n v="60.05"/>
    <n v="4"/>
    <n v="13.39"/>
  </r>
  <r>
    <s v="ORD-2177"/>
    <s v="2025-07-16"/>
    <x v="0"/>
    <s v="Consumer"/>
    <x v="2"/>
    <s v="Phones"/>
    <n v="22.98"/>
    <n v="7"/>
    <n v="3.61"/>
  </r>
  <r>
    <s v="ORD-2178"/>
    <s v="2025-07-16"/>
    <x v="0"/>
    <s v="Consumer"/>
    <x v="1"/>
    <s v="Storage"/>
    <n v="337.28"/>
    <n v="9"/>
    <n v="52.04"/>
  </r>
  <r>
    <s v="ORD-2179"/>
    <s v="2025-07-16"/>
    <x v="1"/>
    <s v="Consumer"/>
    <x v="0"/>
    <s v="Chairs"/>
    <n v="525.5"/>
    <n v="4"/>
    <n v="9.82"/>
  </r>
  <r>
    <s v="ORD-2180"/>
    <s v="2025-07-16"/>
    <x v="3"/>
    <s v="Home Office"/>
    <x v="1"/>
    <s v="Storage"/>
    <n v="82.68"/>
    <n v="4"/>
    <n v="-4.67"/>
  </r>
  <r>
    <s v="ORD-2181"/>
    <s v="2025-07-16"/>
    <x v="0"/>
    <s v="Consumer"/>
    <x v="0"/>
    <s v="Chairs"/>
    <n v="81.99"/>
    <n v="6"/>
    <n v="13.3"/>
  </r>
  <r>
    <s v="ORD-2182"/>
    <s v="2025-07-17"/>
    <x v="3"/>
    <s v="Corporate"/>
    <x v="1"/>
    <s v="Storage"/>
    <n v="21.07"/>
    <n v="6"/>
    <n v="2.56"/>
  </r>
  <r>
    <s v="ORD-2183"/>
    <s v="2025-07-17"/>
    <x v="0"/>
    <s v="Consumer"/>
    <x v="1"/>
    <s v="Binders"/>
    <n v="191.03"/>
    <n v="7"/>
    <n v="-10.029999999999999"/>
  </r>
  <r>
    <s v="ORD-2184"/>
    <s v="2025-07-17"/>
    <x v="2"/>
    <s v="Corporate"/>
    <x v="2"/>
    <s v="Laptops"/>
    <n v="281.82"/>
    <n v="1"/>
    <n v="74.91"/>
  </r>
  <r>
    <s v="ORD-2185"/>
    <s v="2025-07-17"/>
    <x v="0"/>
    <s v="Consumer"/>
    <x v="1"/>
    <s v="Binders"/>
    <n v="43.78"/>
    <n v="3"/>
    <n v="6.71"/>
  </r>
  <r>
    <s v="ORD-2186"/>
    <s v="2025-07-17"/>
    <x v="1"/>
    <s v="Corporate"/>
    <x v="1"/>
    <s v="Binders"/>
    <n v="46.09"/>
    <n v="9"/>
    <n v="6.54"/>
  </r>
  <r>
    <s v="ORD-2187"/>
    <s v="2025-07-17"/>
    <x v="1"/>
    <s v="Home Office"/>
    <x v="2"/>
    <s v="Phones"/>
    <n v="254.16"/>
    <n v="6"/>
    <n v="88.73"/>
  </r>
  <r>
    <s v="ORD-2188"/>
    <s v="2025-07-18"/>
    <x v="3"/>
    <s v="Home Office"/>
    <x v="0"/>
    <s v="Bookcases"/>
    <n v="163.68"/>
    <n v="6"/>
    <n v="4.05"/>
  </r>
  <r>
    <s v="ORD-2189"/>
    <s v="2025-07-18"/>
    <x v="0"/>
    <s v="Home Office"/>
    <x v="1"/>
    <s v="Storage"/>
    <n v="26.88"/>
    <n v="5"/>
    <n v="4.83"/>
  </r>
  <r>
    <s v="ORD-2190"/>
    <s v="2025-07-18"/>
    <x v="3"/>
    <s v="Consumer"/>
    <x v="2"/>
    <s v="Laptops"/>
    <n v="166.15"/>
    <n v="3"/>
    <n v="49.02"/>
  </r>
  <r>
    <s v="ORD-2191"/>
    <s v="2025-07-18"/>
    <x v="3"/>
    <s v="Corporate"/>
    <x v="0"/>
    <s v="Tables"/>
    <n v="75.42"/>
    <n v="5"/>
    <n v="-4.5599999999999996"/>
  </r>
  <r>
    <s v="ORD-2192"/>
    <s v="2025-07-18"/>
    <x v="2"/>
    <s v="Consumer"/>
    <x v="0"/>
    <s v="Bookcases"/>
    <n v="89"/>
    <n v="1"/>
    <n v="11.35"/>
  </r>
  <r>
    <s v="ORD-2193"/>
    <s v="2025-07-18"/>
    <x v="2"/>
    <s v="Consumer"/>
    <x v="1"/>
    <s v="Binders"/>
    <n v="240.28"/>
    <n v="3"/>
    <n v="0.5"/>
  </r>
  <r>
    <s v="ORD-2194"/>
    <s v="2025-07-19"/>
    <x v="1"/>
    <s v="Corporate"/>
    <x v="2"/>
    <s v="Phones"/>
    <n v="269.85000000000002"/>
    <n v="4"/>
    <n v="71.23"/>
  </r>
  <r>
    <s v="ORD-2195"/>
    <s v="2025-07-19"/>
    <x v="3"/>
    <s v="Consumer"/>
    <x v="1"/>
    <s v="Binders"/>
    <n v="96.71"/>
    <n v="5"/>
    <n v="15.14"/>
  </r>
  <r>
    <s v="ORD-2196"/>
    <s v="2025-07-19"/>
    <x v="1"/>
    <s v="Corporate"/>
    <x v="1"/>
    <s v="Paper"/>
    <n v="461.05"/>
    <n v="9"/>
    <n v="106.65"/>
  </r>
  <r>
    <s v="ORD-2197"/>
    <s v="2025-07-19"/>
    <x v="0"/>
    <s v="Home Office"/>
    <x v="1"/>
    <s v="Storage"/>
    <n v="98.25"/>
    <n v="4"/>
    <n v="6.45"/>
  </r>
  <r>
    <s v="ORD-2198"/>
    <s v="2025-07-19"/>
    <x v="3"/>
    <s v="Consumer"/>
    <x v="1"/>
    <s v="Storage"/>
    <n v="241.65"/>
    <n v="3"/>
    <n v="-5.89"/>
  </r>
  <r>
    <s v="ORD-2199"/>
    <s v="2025-07-19"/>
    <x v="3"/>
    <s v="Corporate"/>
    <x v="2"/>
    <s v="Laptops"/>
    <n v="119.21"/>
    <n v="1"/>
    <n v="31.67"/>
  </r>
  <r>
    <s v="ORD-2200"/>
    <s v="2025-07-20"/>
    <x v="0"/>
    <s v="Consumer"/>
    <x v="1"/>
    <s v="Storage"/>
    <n v="361.73"/>
    <n v="6"/>
    <n v="64.430000000000007"/>
  </r>
  <r>
    <s v="ORD-2201"/>
    <s v="2025-07-20"/>
    <x v="0"/>
    <s v="Consumer"/>
    <x v="2"/>
    <s v="Phones"/>
    <n v="377.51"/>
    <n v="7"/>
    <n v="150.61000000000001"/>
  </r>
  <r>
    <s v="ORD-2202"/>
    <s v="2025-07-20"/>
    <x v="1"/>
    <s v="Consumer"/>
    <x v="2"/>
    <s v="Phones"/>
    <n v="33.72"/>
    <n v="8"/>
    <n v="4.1500000000000004"/>
  </r>
  <r>
    <s v="ORD-2203"/>
    <s v="2025-07-20"/>
    <x v="1"/>
    <s v="Home Office"/>
    <x v="0"/>
    <s v="Chairs"/>
    <n v="433.49"/>
    <n v="1"/>
    <n v="28.38"/>
  </r>
  <r>
    <s v="ORD-2204"/>
    <s v="2025-07-20"/>
    <x v="0"/>
    <s v="Home Office"/>
    <x v="0"/>
    <s v="Chairs"/>
    <n v="281.89999999999998"/>
    <n v="4"/>
    <n v="52.64"/>
  </r>
  <r>
    <s v="ORD-2205"/>
    <s v="2025-07-20"/>
    <x v="1"/>
    <s v="Home Office"/>
    <x v="1"/>
    <s v="Storage"/>
    <n v="255.04"/>
    <n v="5"/>
    <n v="28.62"/>
  </r>
  <r>
    <s v="ORD-2206"/>
    <s v="2025-07-21"/>
    <x v="0"/>
    <s v="Home Office"/>
    <x v="1"/>
    <s v="Paper"/>
    <n v="53.64"/>
    <n v="2"/>
    <n v="1.1200000000000001"/>
  </r>
  <r>
    <s v="ORD-2207"/>
    <s v="2025-07-21"/>
    <x v="3"/>
    <s v="Consumer"/>
    <x v="0"/>
    <s v="Bookcases"/>
    <n v="265.31"/>
    <n v="1"/>
    <n v="-24.06"/>
  </r>
  <r>
    <s v="ORD-2208"/>
    <s v="2025-07-21"/>
    <x v="3"/>
    <s v="Consumer"/>
    <x v="2"/>
    <s v="Accessories"/>
    <n v="304.7"/>
    <n v="8"/>
    <n v="76.599999999999994"/>
  </r>
  <r>
    <s v="ORD-2209"/>
    <s v="2025-07-21"/>
    <x v="2"/>
    <s v="Corporate"/>
    <x v="1"/>
    <s v="Storage"/>
    <n v="71.19"/>
    <n v="6"/>
    <n v="14.69"/>
  </r>
  <r>
    <s v="ORD-2210"/>
    <s v="2025-07-21"/>
    <x v="3"/>
    <s v="Consumer"/>
    <x v="0"/>
    <s v="Chairs"/>
    <n v="476.3"/>
    <n v="5"/>
    <n v="-51.98"/>
  </r>
  <r>
    <s v="ORD-2211"/>
    <s v="2025-07-21"/>
    <x v="0"/>
    <s v="Consumer"/>
    <x v="0"/>
    <s v="Bookcases"/>
    <n v="27.67"/>
    <n v="9"/>
    <n v="2.92"/>
  </r>
  <r>
    <s v="ORD-2212"/>
    <s v="2025-07-22"/>
    <x v="1"/>
    <s v="Consumer"/>
    <x v="2"/>
    <s v="Accessories"/>
    <n v="44.36"/>
    <n v="2"/>
    <n v="6.15"/>
  </r>
  <r>
    <s v="ORD-2213"/>
    <s v="2025-07-22"/>
    <x v="2"/>
    <s v="Corporate"/>
    <x v="1"/>
    <s v="Binders"/>
    <n v="135.69"/>
    <n v="8"/>
    <n v="-3.25"/>
  </r>
  <r>
    <s v="ORD-2214"/>
    <s v="2025-07-22"/>
    <x v="1"/>
    <s v="Corporate"/>
    <x v="1"/>
    <s v="Paper"/>
    <n v="148.63"/>
    <n v="9"/>
    <n v="38.74"/>
  </r>
  <r>
    <s v="ORD-2215"/>
    <s v="2025-07-22"/>
    <x v="0"/>
    <s v="Consumer"/>
    <x v="2"/>
    <s v="Phones"/>
    <n v="175.41"/>
    <n v="1"/>
    <n v="3.95"/>
  </r>
  <r>
    <s v="ORD-2216"/>
    <s v="2025-07-22"/>
    <x v="3"/>
    <s v="Consumer"/>
    <x v="2"/>
    <s v="Laptops"/>
    <n v="22.57"/>
    <n v="7"/>
    <n v="5.18"/>
  </r>
  <r>
    <s v="ORD-2217"/>
    <s v="2025-07-22"/>
    <x v="2"/>
    <s v="Corporate"/>
    <x v="1"/>
    <s v="Binders"/>
    <n v="504.21"/>
    <n v="8"/>
    <n v="232.83"/>
  </r>
  <r>
    <s v="ORD-2218"/>
    <s v="2025-07-23"/>
    <x v="0"/>
    <s v="Corporate"/>
    <x v="1"/>
    <s v="Storage"/>
    <n v="26.84"/>
    <n v="3"/>
    <n v="3.99"/>
  </r>
  <r>
    <s v="ORD-2219"/>
    <s v="2025-07-23"/>
    <x v="2"/>
    <s v="Consumer"/>
    <x v="2"/>
    <s v="Laptops"/>
    <n v="43.16"/>
    <n v="4"/>
    <n v="5.95"/>
  </r>
  <r>
    <s v="ORD-2220"/>
    <s v="2025-07-23"/>
    <x v="2"/>
    <s v="Corporate"/>
    <x v="1"/>
    <s v="Paper"/>
    <n v="22.12"/>
    <n v="3"/>
    <n v="3.19"/>
  </r>
  <r>
    <s v="ORD-2221"/>
    <s v="2025-07-23"/>
    <x v="3"/>
    <s v="Consumer"/>
    <x v="2"/>
    <s v="Accessories"/>
    <n v="145.5"/>
    <n v="7"/>
    <n v="35.64"/>
  </r>
  <r>
    <s v="ORD-2222"/>
    <s v="2025-07-23"/>
    <x v="0"/>
    <s v="Consumer"/>
    <x v="0"/>
    <s v="Tables"/>
    <n v="423.83"/>
    <n v="9"/>
    <n v="-14.38"/>
  </r>
  <r>
    <s v="ORD-2223"/>
    <s v="2025-07-23"/>
    <x v="1"/>
    <s v="Corporate"/>
    <x v="1"/>
    <s v="Paper"/>
    <n v="184.47"/>
    <n v="3"/>
    <n v="39.89"/>
  </r>
  <r>
    <s v="ORD-2224"/>
    <s v="2025-07-24"/>
    <x v="2"/>
    <s v="Corporate"/>
    <x v="0"/>
    <s v="Chairs"/>
    <n v="279.45"/>
    <n v="6"/>
    <n v="-43.01"/>
  </r>
  <r>
    <s v="ORD-2225"/>
    <s v="2025-07-24"/>
    <x v="2"/>
    <s v="Consumer"/>
    <x v="1"/>
    <s v="Binders"/>
    <n v="22.01"/>
    <n v="8"/>
    <n v="7.02"/>
  </r>
  <r>
    <s v="ORD-2226"/>
    <s v="2025-07-24"/>
    <x v="1"/>
    <s v="Corporate"/>
    <x v="0"/>
    <s v="Tables"/>
    <n v="137.13999999999999"/>
    <n v="6"/>
    <n v="-3.5"/>
  </r>
  <r>
    <s v="ORD-2227"/>
    <s v="2025-07-24"/>
    <x v="0"/>
    <s v="Corporate"/>
    <x v="2"/>
    <s v="Phones"/>
    <n v="112.31"/>
    <n v="2"/>
    <n v="36.24"/>
  </r>
  <r>
    <s v="ORD-2228"/>
    <s v="2025-07-24"/>
    <x v="2"/>
    <s v="Corporate"/>
    <x v="1"/>
    <s v="Binders"/>
    <n v="123.66"/>
    <n v="7"/>
    <n v="10.78"/>
  </r>
  <r>
    <s v="ORD-2229"/>
    <s v="2025-07-24"/>
    <x v="2"/>
    <s v="Corporate"/>
    <x v="0"/>
    <s v="Bookcases"/>
    <n v="31.24"/>
    <n v="2"/>
    <n v="2.46"/>
  </r>
  <r>
    <s v="ORD-2230"/>
    <s v="2025-07-25"/>
    <x v="2"/>
    <s v="Corporate"/>
    <x v="1"/>
    <s v="Storage"/>
    <n v="193.01"/>
    <n v="2"/>
    <n v="23.99"/>
  </r>
  <r>
    <s v="ORD-2231"/>
    <s v="2025-07-25"/>
    <x v="0"/>
    <s v="Consumer"/>
    <x v="2"/>
    <s v="Phones"/>
    <n v="124.94"/>
    <n v="2"/>
    <n v="34.700000000000003"/>
  </r>
  <r>
    <s v="ORD-2232"/>
    <s v="2025-07-25"/>
    <x v="0"/>
    <s v="Consumer"/>
    <x v="2"/>
    <s v="Accessories"/>
    <n v="237.32"/>
    <n v="1"/>
    <n v="37.19"/>
  </r>
  <r>
    <s v="ORD-2233"/>
    <s v="2025-07-25"/>
    <x v="1"/>
    <s v="Consumer"/>
    <x v="2"/>
    <s v="Laptops"/>
    <n v="119.62"/>
    <n v="1"/>
    <n v="17.98"/>
  </r>
  <r>
    <s v="ORD-2234"/>
    <s v="2025-07-25"/>
    <x v="0"/>
    <s v="Consumer"/>
    <x v="1"/>
    <s v="Binders"/>
    <n v="44.27"/>
    <n v="7"/>
    <n v="9.69"/>
  </r>
  <r>
    <s v="ORD-2235"/>
    <s v="2025-07-25"/>
    <x v="0"/>
    <s v="Corporate"/>
    <x v="0"/>
    <s v="Chairs"/>
    <n v="176.73"/>
    <n v="5"/>
    <n v="-16.68"/>
  </r>
  <r>
    <s v="ORD-2236"/>
    <s v="2025-07-26"/>
    <x v="3"/>
    <s v="Corporate"/>
    <x v="1"/>
    <s v="Binders"/>
    <n v="48.38"/>
    <n v="3"/>
    <n v="3.13"/>
  </r>
  <r>
    <s v="ORD-2237"/>
    <s v="2025-07-26"/>
    <x v="1"/>
    <s v="Consumer"/>
    <x v="0"/>
    <s v="Tables"/>
    <n v="328.82"/>
    <n v="1"/>
    <n v="-37.590000000000003"/>
  </r>
  <r>
    <s v="ORD-2238"/>
    <s v="2025-07-26"/>
    <x v="2"/>
    <s v="Consumer"/>
    <x v="1"/>
    <s v="Binders"/>
    <n v="162.44"/>
    <n v="6"/>
    <n v="35.72"/>
  </r>
  <r>
    <s v="ORD-2239"/>
    <s v="2025-07-26"/>
    <x v="0"/>
    <s v="Consumer"/>
    <x v="2"/>
    <s v="Phones"/>
    <n v="45.65"/>
    <n v="1"/>
    <n v="8.5399999999999991"/>
  </r>
  <r>
    <s v="ORD-2240"/>
    <s v="2025-07-26"/>
    <x v="2"/>
    <s v="Consumer"/>
    <x v="1"/>
    <s v="Storage"/>
    <n v="511.87"/>
    <n v="9"/>
    <n v="70.760000000000005"/>
  </r>
  <r>
    <s v="ORD-2241"/>
    <s v="2025-07-26"/>
    <x v="2"/>
    <s v="Corporate"/>
    <x v="1"/>
    <s v="Paper"/>
    <n v="129.59"/>
    <n v="2"/>
    <n v="19.63"/>
  </r>
  <r>
    <s v="ORD-2242"/>
    <s v="2025-07-27"/>
    <x v="3"/>
    <s v="Consumer"/>
    <x v="1"/>
    <s v="Paper"/>
    <n v="31.35"/>
    <n v="1"/>
    <n v="-1.31"/>
  </r>
  <r>
    <s v="ORD-2243"/>
    <s v="2025-07-27"/>
    <x v="0"/>
    <s v="Corporate"/>
    <x v="1"/>
    <s v="Binders"/>
    <n v="167.86"/>
    <n v="7"/>
    <n v="0.48"/>
  </r>
  <r>
    <s v="ORD-2244"/>
    <s v="2025-07-27"/>
    <x v="1"/>
    <s v="Home Office"/>
    <x v="1"/>
    <s v="Binders"/>
    <n v="63.79"/>
    <n v="6"/>
    <n v="11.71"/>
  </r>
  <r>
    <s v="ORD-2245"/>
    <s v="2025-07-27"/>
    <x v="0"/>
    <s v="Consumer"/>
    <x v="1"/>
    <s v="Storage"/>
    <n v="264.20999999999998"/>
    <n v="6"/>
    <n v="20.16"/>
  </r>
  <r>
    <s v="ORD-2246"/>
    <s v="2025-07-27"/>
    <x v="2"/>
    <s v="Consumer"/>
    <x v="2"/>
    <s v="Accessories"/>
    <n v="275.42"/>
    <n v="5"/>
    <n v="97.96"/>
  </r>
  <r>
    <s v="ORD-2247"/>
    <s v="2025-07-27"/>
    <x v="1"/>
    <s v="Consumer"/>
    <x v="2"/>
    <s v="Accessories"/>
    <n v="599.11"/>
    <n v="4"/>
    <n v="207.7"/>
  </r>
  <r>
    <s v="ORD-2248"/>
    <s v="2025-07-28"/>
    <x v="0"/>
    <s v="Corporate"/>
    <x v="1"/>
    <s v="Paper"/>
    <n v="124.53"/>
    <n v="4"/>
    <n v="27.64"/>
  </r>
  <r>
    <s v="ORD-2249"/>
    <s v="2025-07-28"/>
    <x v="2"/>
    <s v="Corporate"/>
    <x v="1"/>
    <s v="Binders"/>
    <n v="111.03"/>
    <n v="3"/>
    <n v="36.86"/>
  </r>
  <r>
    <s v="ORD-2250"/>
    <s v="2025-07-28"/>
    <x v="2"/>
    <s v="Consumer"/>
    <x v="1"/>
    <s v="Paper"/>
    <n v="230.04"/>
    <n v="8"/>
    <n v="32.590000000000003"/>
  </r>
  <r>
    <s v="ORD-2251"/>
    <s v="2025-07-28"/>
    <x v="3"/>
    <s v="Corporate"/>
    <x v="0"/>
    <s v="Chairs"/>
    <n v="41.32"/>
    <n v="7"/>
    <n v="0.62"/>
  </r>
  <r>
    <s v="ORD-2252"/>
    <s v="2025-07-28"/>
    <x v="3"/>
    <s v="Home Office"/>
    <x v="2"/>
    <s v="Phones"/>
    <n v="138.75"/>
    <n v="9"/>
    <n v="26.58"/>
  </r>
  <r>
    <s v="ORD-2253"/>
    <s v="2025-07-28"/>
    <x v="3"/>
    <s v="Consumer"/>
    <x v="2"/>
    <s v="Laptops"/>
    <n v="138.53"/>
    <n v="1"/>
    <n v="68.61"/>
  </r>
  <r>
    <s v="ORD-2254"/>
    <s v="2025-07-29"/>
    <x v="2"/>
    <s v="Consumer"/>
    <x v="1"/>
    <s v="Binders"/>
    <n v="34.06"/>
    <n v="7"/>
    <n v="11.87"/>
  </r>
  <r>
    <s v="ORD-2255"/>
    <s v="2025-07-29"/>
    <x v="0"/>
    <s v="Home Office"/>
    <x v="0"/>
    <s v="Tables"/>
    <n v="101.19"/>
    <n v="4"/>
    <n v="-4.9400000000000004"/>
  </r>
  <r>
    <s v="ORD-2256"/>
    <s v="2025-07-29"/>
    <x v="3"/>
    <s v="Corporate"/>
    <x v="2"/>
    <s v="Laptops"/>
    <n v="307.89"/>
    <n v="7"/>
    <n v="88.88"/>
  </r>
  <r>
    <s v="ORD-2257"/>
    <s v="2025-07-29"/>
    <x v="0"/>
    <s v="Home Office"/>
    <x v="0"/>
    <s v="Chairs"/>
    <n v="310.85000000000002"/>
    <n v="1"/>
    <n v="26.71"/>
  </r>
  <r>
    <s v="ORD-2258"/>
    <s v="2025-07-29"/>
    <x v="3"/>
    <s v="Corporate"/>
    <x v="2"/>
    <s v="Accessories"/>
    <n v="35.68"/>
    <n v="5"/>
    <n v="8.4"/>
  </r>
  <r>
    <s v="ORD-2259"/>
    <s v="2025-07-29"/>
    <x v="1"/>
    <s v="Home Office"/>
    <x v="0"/>
    <s v="Chairs"/>
    <n v="34.270000000000003"/>
    <n v="3"/>
    <n v="-3.96"/>
  </r>
  <r>
    <s v="ORD-2260"/>
    <s v="2025-07-30"/>
    <x v="1"/>
    <s v="Consumer"/>
    <x v="2"/>
    <s v="Accessories"/>
    <n v="65.709999999999994"/>
    <n v="5"/>
    <n v="22.17"/>
  </r>
  <r>
    <s v="ORD-2261"/>
    <s v="2025-07-30"/>
    <x v="3"/>
    <s v="Corporate"/>
    <x v="1"/>
    <s v="Binders"/>
    <n v="331.64"/>
    <n v="4"/>
    <n v="52.35"/>
  </r>
  <r>
    <s v="ORD-2262"/>
    <s v="2025-07-30"/>
    <x v="2"/>
    <s v="Home Office"/>
    <x v="0"/>
    <s v="Tables"/>
    <n v="40.700000000000003"/>
    <n v="2"/>
    <n v="-1.29"/>
  </r>
  <r>
    <s v="ORD-2263"/>
    <s v="2025-07-30"/>
    <x v="3"/>
    <s v="Corporate"/>
    <x v="0"/>
    <s v="Tables"/>
    <n v="210.94"/>
    <n v="4"/>
    <n v="-28.15"/>
  </r>
  <r>
    <s v="ORD-2264"/>
    <s v="2025-07-30"/>
    <x v="3"/>
    <s v="Consumer"/>
    <x v="2"/>
    <s v="Phones"/>
    <n v="36"/>
    <n v="3"/>
    <n v="2.82"/>
  </r>
  <r>
    <s v="ORD-2265"/>
    <s v="2025-07-30"/>
    <x v="2"/>
    <s v="Consumer"/>
    <x v="2"/>
    <s v="Phones"/>
    <n v="166.38"/>
    <n v="1"/>
    <n v="45.52"/>
  </r>
  <r>
    <s v="ORD-2266"/>
    <s v="2025-07-31"/>
    <x v="1"/>
    <s v="Consumer"/>
    <x v="0"/>
    <s v="Tables"/>
    <n v="86.02"/>
    <n v="8"/>
    <n v="3.48"/>
  </r>
  <r>
    <s v="ORD-2267"/>
    <s v="2025-07-31"/>
    <x v="0"/>
    <s v="Consumer"/>
    <x v="0"/>
    <s v="Bookcases"/>
    <n v="253.32"/>
    <n v="5"/>
    <n v="-18.39"/>
  </r>
  <r>
    <s v="ORD-2268"/>
    <s v="2025-07-31"/>
    <x v="3"/>
    <s v="Consumer"/>
    <x v="1"/>
    <s v="Binders"/>
    <n v="59.93"/>
    <n v="4"/>
    <n v="17.600000000000001"/>
  </r>
  <r>
    <s v="ORD-2269"/>
    <s v="2025-07-31"/>
    <x v="2"/>
    <s v="Corporate"/>
    <x v="2"/>
    <s v="Phones"/>
    <n v="172.92"/>
    <n v="5"/>
    <n v="31.06"/>
  </r>
  <r>
    <s v="ORD-2270"/>
    <s v="2025-07-31"/>
    <x v="3"/>
    <s v="Corporate"/>
    <x v="1"/>
    <s v="Binders"/>
    <n v="60.32"/>
    <n v="4"/>
    <n v="2.69"/>
  </r>
  <r>
    <s v="ORD-2271"/>
    <s v="2025-07-31"/>
    <x v="2"/>
    <s v="Consumer"/>
    <x v="1"/>
    <s v="Storage"/>
    <n v="207.59"/>
    <n v="3"/>
    <n v="29.74"/>
  </r>
  <r>
    <s v="ORD-2272"/>
    <s v="2025-08-01"/>
    <x v="0"/>
    <s v="Corporate"/>
    <x v="1"/>
    <s v="Binders"/>
    <n v="330.34"/>
    <n v="5"/>
    <n v="46.82"/>
  </r>
  <r>
    <s v="ORD-2273"/>
    <s v="2025-08-01"/>
    <x v="0"/>
    <s v="Consumer"/>
    <x v="2"/>
    <s v="Accessories"/>
    <n v="40.340000000000003"/>
    <n v="4"/>
    <n v="13.19"/>
  </r>
  <r>
    <s v="ORD-2274"/>
    <s v="2025-08-01"/>
    <x v="1"/>
    <s v="Consumer"/>
    <x v="0"/>
    <s v="Chairs"/>
    <n v="322.16000000000003"/>
    <n v="1"/>
    <n v="-41.07"/>
  </r>
  <r>
    <s v="ORD-2275"/>
    <s v="2025-08-01"/>
    <x v="2"/>
    <s v="Consumer"/>
    <x v="2"/>
    <s v="Phones"/>
    <n v="155.05000000000001"/>
    <n v="3"/>
    <n v="59.97"/>
  </r>
  <r>
    <s v="ORD-2276"/>
    <s v="2025-08-01"/>
    <x v="2"/>
    <s v="Corporate"/>
    <x v="2"/>
    <s v="Accessories"/>
    <n v="40.39"/>
    <n v="8"/>
    <n v="18.04"/>
  </r>
  <r>
    <s v="ORD-2277"/>
    <s v="2025-08-01"/>
    <x v="1"/>
    <s v="Consumer"/>
    <x v="1"/>
    <s v="Storage"/>
    <n v="103.67"/>
    <n v="7"/>
    <n v="15.14"/>
  </r>
  <r>
    <s v="ORD-2278"/>
    <s v="2025-08-02"/>
    <x v="1"/>
    <s v="Consumer"/>
    <x v="2"/>
    <s v="Laptops"/>
    <n v="46.31"/>
    <n v="2"/>
    <n v="17.36"/>
  </r>
  <r>
    <s v="ORD-2279"/>
    <s v="2025-08-02"/>
    <x v="2"/>
    <s v="Consumer"/>
    <x v="0"/>
    <s v="Bookcases"/>
    <n v="200.77"/>
    <n v="1"/>
    <n v="-31.25"/>
  </r>
  <r>
    <s v="ORD-2280"/>
    <s v="2025-08-02"/>
    <x v="1"/>
    <s v="Home Office"/>
    <x v="1"/>
    <s v="Storage"/>
    <n v="233.36"/>
    <n v="3"/>
    <n v="60.1"/>
  </r>
  <r>
    <s v="ORD-2281"/>
    <s v="2025-08-02"/>
    <x v="0"/>
    <s v="Consumer"/>
    <x v="1"/>
    <s v="Binders"/>
    <n v="36.770000000000003"/>
    <n v="5"/>
    <n v="9.3699999999999992"/>
  </r>
  <r>
    <s v="ORD-2282"/>
    <s v="2025-08-02"/>
    <x v="3"/>
    <s v="Corporate"/>
    <x v="0"/>
    <s v="Chairs"/>
    <n v="125.83"/>
    <n v="1"/>
    <n v="4.57"/>
  </r>
  <r>
    <s v="ORD-2283"/>
    <s v="2025-08-02"/>
    <x v="0"/>
    <s v="Corporate"/>
    <x v="2"/>
    <s v="Accessories"/>
    <n v="272.81"/>
    <n v="3"/>
    <n v="67.78"/>
  </r>
  <r>
    <s v="ORD-2284"/>
    <s v="2025-08-03"/>
    <x v="1"/>
    <s v="Corporate"/>
    <x v="0"/>
    <s v="Chairs"/>
    <n v="432.71"/>
    <n v="3"/>
    <n v="-149.47"/>
  </r>
  <r>
    <s v="ORD-2285"/>
    <s v="2025-08-03"/>
    <x v="2"/>
    <s v="Home Office"/>
    <x v="0"/>
    <s v="Tables"/>
    <n v="128.08000000000001"/>
    <n v="5"/>
    <n v="-14.62"/>
  </r>
  <r>
    <s v="ORD-2286"/>
    <s v="2025-08-03"/>
    <x v="2"/>
    <s v="Consumer"/>
    <x v="2"/>
    <s v="Laptops"/>
    <n v="470.2"/>
    <n v="3"/>
    <n v="88.12"/>
  </r>
  <r>
    <s v="ORD-2287"/>
    <s v="2025-08-03"/>
    <x v="0"/>
    <s v="Consumer"/>
    <x v="0"/>
    <s v="Tables"/>
    <n v="135.08000000000001"/>
    <n v="9"/>
    <n v="-19.97"/>
  </r>
  <r>
    <s v="ORD-2288"/>
    <s v="2025-08-03"/>
    <x v="2"/>
    <s v="Home Office"/>
    <x v="2"/>
    <s v="Laptops"/>
    <n v="95.18"/>
    <n v="1"/>
    <n v="24.96"/>
  </r>
  <r>
    <s v="ORD-2289"/>
    <s v="2025-08-03"/>
    <x v="1"/>
    <s v="Consumer"/>
    <x v="2"/>
    <s v="Phones"/>
    <n v="302.77999999999997"/>
    <n v="4"/>
    <n v="63.01"/>
  </r>
  <r>
    <s v="ORD-2290"/>
    <s v="2025-08-04"/>
    <x v="0"/>
    <s v="Corporate"/>
    <x v="0"/>
    <s v="Bookcases"/>
    <n v="121.88"/>
    <n v="4"/>
    <n v="-16.14"/>
  </r>
  <r>
    <s v="ORD-2291"/>
    <s v="2025-08-04"/>
    <x v="2"/>
    <s v="Corporate"/>
    <x v="2"/>
    <s v="Phones"/>
    <n v="115.77"/>
    <n v="1"/>
    <n v="16.68"/>
  </r>
  <r>
    <s v="ORD-2292"/>
    <s v="2025-08-04"/>
    <x v="3"/>
    <s v="Corporate"/>
    <x v="0"/>
    <s v="Chairs"/>
    <n v="121.09"/>
    <n v="2"/>
    <n v="-14.72"/>
  </r>
  <r>
    <s v="ORD-2293"/>
    <s v="2025-08-04"/>
    <x v="3"/>
    <s v="Home Office"/>
    <x v="1"/>
    <s v="Paper"/>
    <n v="301.39"/>
    <n v="1"/>
    <n v="79.010000000000005"/>
  </r>
  <r>
    <s v="ORD-2294"/>
    <s v="2025-08-04"/>
    <x v="1"/>
    <s v="Home Office"/>
    <x v="1"/>
    <s v="Paper"/>
    <n v="287.52"/>
    <n v="6"/>
    <n v="24.12"/>
  </r>
  <r>
    <s v="ORD-2295"/>
    <s v="2025-08-04"/>
    <x v="2"/>
    <s v="Corporate"/>
    <x v="2"/>
    <s v="Accessories"/>
    <n v="97.51"/>
    <n v="3"/>
    <n v="19.36"/>
  </r>
  <r>
    <s v="ORD-2296"/>
    <s v="2025-08-05"/>
    <x v="1"/>
    <s v="Consumer"/>
    <x v="2"/>
    <s v="Accessories"/>
    <n v="80.81"/>
    <n v="7"/>
    <n v="16.510000000000002"/>
  </r>
  <r>
    <s v="ORD-2297"/>
    <s v="2025-08-05"/>
    <x v="0"/>
    <s v="Home Office"/>
    <x v="2"/>
    <s v="Laptops"/>
    <n v="121.57"/>
    <n v="5"/>
    <n v="34.51"/>
  </r>
  <r>
    <s v="ORD-2298"/>
    <s v="2025-08-05"/>
    <x v="3"/>
    <s v="Consumer"/>
    <x v="1"/>
    <s v="Binders"/>
    <n v="147.57"/>
    <n v="9"/>
    <n v="28.87"/>
  </r>
  <r>
    <s v="ORD-2299"/>
    <s v="2025-08-05"/>
    <x v="0"/>
    <s v="Consumer"/>
    <x v="1"/>
    <s v="Binders"/>
    <n v="60.84"/>
    <n v="7"/>
    <n v="-9.4"/>
  </r>
  <r>
    <s v="ORD-2300"/>
    <s v="2025-08-05"/>
    <x v="2"/>
    <s v="Home Office"/>
    <x v="2"/>
    <s v="Phones"/>
    <n v="256.95"/>
    <n v="4"/>
    <n v="90.49"/>
  </r>
  <r>
    <s v="ORD-2301"/>
    <s v="2025-08-05"/>
    <x v="1"/>
    <s v="Consumer"/>
    <x v="1"/>
    <s v="Binders"/>
    <n v="119.97"/>
    <n v="5"/>
    <n v="35.229999999999997"/>
  </r>
  <r>
    <s v="ORD-2302"/>
    <s v="2025-08-06"/>
    <x v="1"/>
    <s v="Consumer"/>
    <x v="2"/>
    <s v="Laptops"/>
    <n v="80.98"/>
    <n v="5"/>
    <n v="11.74"/>
  </r>
  <r>
    <s v="ORD-2303"/>
    <s v="2025-08-06"/>
    <x v="1"/>
    <s v="Consumer"/>
    <x v="0"/>
    <s v="Bookcases"/>
    <n v="36.950000000000003"/>
    <n v="5"/>
    <n v="-5.44"/>
  </r>
  <r>
    <s v="ORD-2304"/>
    <s v="2025-08-06"/>
    <x v="0"/>
    <s v="Home Office"/>
    <x v="1"/>
    <s v="Paper"/>
    <n v="60.94"/>
    <n v="9"/>
    <n v="6.4"/>
  </r>
  <r>
    <s v="ORD-2305"/>
    <s v="2025-08-06"/>
    <x v="3"/>
    <s v="Corporate"/>
    <x v="1"/>
    <s v="Binders"/>
    <n v="467.22"/>
    <n v="3"/>
    <n v="34.76"/>
  </r>
  <r>
    <s v="ORD-2306"/>
    <s v="2025-08-06"/>
    <x v="0"/>
    <s v="Corporate"/>
    <x v="1"/>
    <s v="Storage"/>
    <n v="74.599999999999994"/>
    <n v="6"/>
    <n v="12.86"/>
  </r>
  <r>
    <s v="ORD-2307"/>
    <s v="2025-08-06"/>
    <x v="0"/>
    <s v="Consumer"/>
    <x v="1"/>
    <s v="Paper"/>
    <n v="47.74"/>
    <n v="8"/>
    <n v="-2.13"/>
  </r>
  <r>
    <s v="ORD-2308"/>
    <s v="2025-08-07"/>
    <x v="2"/>
    <s v="Corporate"/>
    <x v="0"/>
    <s v="Chairs"/>
    <n v="112.61"/>
    <n v="9"/>
    <n v="-18.22"/>
  </r>
  <r>
    <s v="ORD-2309"/>
    <s v="2025-08-07"/>
    <x v="2"/>
    <s v="Corporate"/>
    <x v="1"/>
    <s v="Binders"/>
    <n v="75.03"/>
    <n v="7"/>
    <n v="22.8"/>
  </r>
  <r>
    <s v="ORD-2310"/>
    <s v="2025-08-07"/>
    <x v="2"/>
    <s v="Consumer"/>
    <x v="2"/>
    <s v="Accessories"/>
    <n v="25.37"/>
    <n v="3"/>
    <n v="3.99"/>
  </r>
  <r>
    <s v="ORD-2311"/>
    <s v="2025-08-07"/>
    <x v="3"/>
    <s v="Consumer"/>
    <x v="1"/>
    <s v="Storage"/>
    <n v="78.540000000000006"/>
    <n v="1"/>
    <n v="21.55"/>
  </r>
  <r>
    <s v="ORD-2312"/>
    <s v="2025-08-07"/>
    <x v="3"/>
    <s v="Consumer"/>
    <x v="0"/>
    <s v="Bookcases"/>
    <n v="137.83000000000001"/>
    <n v="4"/>
    <n v="-1.99"/>
  </r>
  <r>
    <s v="ORD-2313"/>
    <s v="2025-08-07"/>
    <x v="2"/>
    <s v="Home Office"/>
    <x v="1"/>
    <s v="Storage"/>
    <n v="140.35"/>
    <n v="6"/>
    <n v="-4.34"/>
  </r>
  <r>
    <s v="ORD-2314"/>
    <s v="2025-08-08"/>
    <x v="2"/>
    <s v="Corporate"/>
    <x v="0"/>
    <s v="Chairs"/>
    <n v="86.14"/>
    <n v="3"/>
    <n v="1.17"/>
  </r>
  <r>
    <s v="ORD-2315"/>
    <s v="2025-08-08"/>
    <x v="3"/>
    <s v="Home Office"/>
    <x v="1"/>
    <s v="Storage"/>
    <n v="108.94"/>
    <n v="1"/>
    <n v="15.06"/>
  </r>
  <r>
    <s v="ORD-2316"/>
    <s v="2025-08-08"/>
    <x v="1"/>
    <s v="Consumer"/>
    <x v="0"/>
    <s v="Bookcases"/>
    <n v="525.1"/>
    <n v="6"/>
    <n v="-50.17"/>
  </r>
  <r>
    <s v="ORD-2317"/>
    <s v="2025-08-08"/>
    <x v="3"/>
    <s v="Corporate"/>
    <x v="1"/>
    <s v="Binders"/>
    <n v="91.07"/>
    <n v="1"/>
    <n v="15.89"/>
  </r>
  <r>
    <s v="ORD-2318"/>
    <s v="2025-08-08"/>
    <x v="3"/>
    <s v="Corporate"/>
    <x v="2"/>
    <s v="Phones"/>
    <n v="64.81"/>
    <n v="9"/>
    <n v="19.28"/>
  </r>
  <r>
    <s v="ORD-2319"/>
    <s v="2025-08-08"/>
    <x v="3"/>
    <s v="Corporate"/>
    <x v="2"/>
    <s v="Accessories"/>
    <n v="61.85"/>
    <n v="1"/>
    <n v="19.84"/>
  </r>
  <r>
    <s v="ORD-2320"/>
    <s v="2025-08-09"/>
    <x v="2"/>
    <s v="Home Office"/>
    <x v="2"/>
    <s v="Accessories"/>
    <n v="111.81"/>
    <n v="6"/>
    <n v="41.13"/>
  </r>
  <r>
    <s v="ORD-2321"/>
    <s v="2025-08-09"/>
    <x v="1"/>
    <s v="Consumer"/>
    <x v="2"/>
    <s v="Laptops"/>
    <n v="233.77"/>
    <n v="1"/>
    <n v="67.98"/>
  </r>
  <r>
    <s v="ORD-2322"/>
    <s v="2025-08-09"/>
    <x v="3"/>
    <s v="Consumer"/>
    <x v="1"/>
    <s v="Binders"/>
    <n v="54.6"/>
    <n v="7"/>
    <n v="0.68"/>
  </r>
  <r>
    <s v="ORD-2323"/>
    <s v="2025-08-09"/>
    <x v="2"/>
    <s v="Corporate"/>
    <x v="2"/>
    <s v="Laptops"/>
    <n v="205.32"/>
    <n v="3"/>
    <n v="41.61"/>
  </r>
  <r>
    <s v="ORD-2324"/>
    <s v="2025-08-09"/>
    <x v="0"/>
    <s v="Corporate"/>
    <x v="1"/>
    <s v="Binders"/>
    <n v="23.21"/>
    <n v="6"/>
    <n v="10.31"/>
  </r>
  <r>
    <s v="ORD-2325"/>
    <s v="2025-08-09"/>
    <x v="0"/>
    <s v="Corporate"/>
    <x v="0"/>
    <s v="Bookcases"/>
    <n v="101.43"/>
    <n v="7"/>
    <n v="2.2799999999999998"/>
  </r>
  <r>
    <s v="ORD-2326"/>
    <s v="2025-08-10"/>
    <x v="3"/>
    <s v="Consumer"/>
    <x v="2"/>
    <s v="Accessories"/>
    <n v="244.33"/>
    <n v="1"/>
    <n v="118.97"/>
  </r>
  <r>
    <s v="ORD-2327"/>
    <s v="2025-08-10"/>
    <x v="0"/>
    <s v="Corporate"/>
    <x v="1"/>
    <s v="Binders"/>
    <n v="82.04"/>
    <n v="1"/>
    <n v="23.75"/>
  </r>
  <r>
    <s v="ORD-2328"/>
    <s v="2025-08-10"/>
    <x v="1"/>
    <s v="Consumer"/>
    <x v="1"/>
    <s v="Storage"/>
    <n v="144.43"/>
    <n v="5"/>
    <n v="25.16"/>
  </r>
  <r>
    <s v="ORD-2329"/>
    <s v="2025-08-10"/>
    <x v="0"/>
    <s v="Consumer"/>
    <x v="0"/>
    <s v="Chairs"/>
    <n v="54.41"/>
    <n v="6"/>
    <n v="-1.08"/>
  </r>
  <r>
    <s v="ORD-2330"/>
    <s v="2025-08-10"/>
    <x v="0"/>
    <s v="Corporate"/>
    <x v="0"/>
    <s v="Tables"/>
    <n v="223.22"/>
    <n v="9"/>
    <n v="-11.98"/>
  </r>
  <r>
    <s v="ORD-2331"/>
    <s v="2025-08-10"/>
    <x v="1"/>
    <s v="Corporate"/>
    <x v="1"/>
    <s v="Storage"/>
    <n v="28.05"/>
    <n v="1"/>
    <n v="-0.67"/>
  </r>
  <r>
    <s v="ORD-2332"/>
    <s v="2025-08-11"/>
    <x v="3"/>
    <s v="Consumer"/>
    <x v="2"/>
    <s v="Accessories"/>
    <n v="307.13"/>
    <n v="4"/>
    <n v="77.34"/>
  </r>
  <r>
    <s v="ORD-2333"/>
    <s v="2025-08-11"/>
    <x v="3"/>
    <s v="Consumer"/>
    <x v="1"/>
    <s v="Paper"/>
    <n v="53.13"/>
    <n v="8"/>
    <n v="14.4"/>
  </r>
  <r>
    <s v="ORD-2334"/>
    <s v="2025-08-11"/>
    <x v="1"/>
    <s v="Consumer"/>
    <x v="1"/>
    <s v="Storage"/>
    <n v="331.2"/>
    <n v="9"/>
    <n v="29.82"/>
  </r>
  <r>
    <s v="ORD-2335"/>
    <s v="2025-08-11"/>
    <x v="1"/>
    <s v="Consumer"/>
    <x v="1"/>
    <s v="Binders"/>
    <n v="85.2"/>
    <n v="3"/>
    <n v="16.29"/>
  </r>
  <r>
    <s v="ORD-2336"/>
    <s v="2025-08-11"/>
    <x v="1"/>
    <s v="Corporate"/>
    <x v="2"/>
    <s v="Phones"/>
    <n v="212.39"/>
    <n v="2"/>
    <n v="71.180000000000007"/>
  </r>
  <r>
    <s v="ORD-2337"/>
    <s v="2025-08-11"/>
    <x v="0"/>
    <s v="Home Office"/>
    <x v="1"/>
    <s v="Storage"/>
    <n v="77.680000000000007"/>
    <n v="4"/>
    <n v="4.59"/>
  </r>
  <r>
    <s v="ORD-2338"/>
    <s v="2025-08-12"/>
    <x v="1"/>
    <s v="Consumer"/>
    <x v="2"/>
    <s v="Accessories"/>
    <n v="374.53"/>
    <n v="2"/>
    <n v="76.73"/>
  </r>
  <r>
    <s v="ORD-2339"/>
    <s v="2025-08-12"/>
    <x v="2"/>
    <s v="Corporate"/>
    <x v="2"/>
    <s v="Phones"/>
    <n v="40.31"/>
    <n v="1"/>
    <n v="5.97"/>
  </r>
  <r>
    <s v="ORD-2340"/>
    <s v="2025-08-12"/>
    <x v="0"/>
    <s v="Home Office"/>
    <x v="2"/>
    <s v="Accessories"/>
    <n v="49.5"/>
    <n v="3"/>
    <n v="8.31"/>
  </r>
  <r>
    <s v="ORD-2341"/>
    <s v="2025-08-12"/>
    <x v="3"/>
    <s v="Home Office"/>
    <x v="0"/>
    <s v="Bookcases"/>
    <n v="121.9"/>
    <n v="7"/>
    <n v="-21.79"/>
  </r>
  <r>
    <s v="ORD-2342"/>
    <s v="2025-08-12"/>
    <x v="3"/>
    <s v="Consumer"/>
    <x v="1"/>
    <s v="Binders"/>
    <n v="32.82"/>
    <n v="1"/>
    <n v="1.97"/>
  </r>
  <r>
    <s v="ORD-2343"/>
    <s v="2025-08-12"/>
    <x v="3"/>
    <s v="Home Office"/>
    <x v="1"/>
    <s v="Binders"/>
    <n v="52.72"/>
    <n v="2"/>
    <n v="15.39"/>
  </r>
  <r>
    <s v="ORD-2344"/>
    <s v="2025-08-13"/>
    <x v="0"/>
    <s v="Consumer"/>
    <x v="1"/>
    <s v="Storage"/>
    <n v="451.74"/>
    <n v="1"/>
    <n v="26.41"/>
  </r>
  <r>
    <s v="ORD-2345"/>
    <s v="2025-08-13"/>
    <x v="2"/>
    <s v="Consumer"/>
    <x v="0"/>
    <s v="Tables"/>
    <n v="582.54999999999995"/>
    <n v="8"/>
    <n v="-21.76"/>
  </r>
  <r>
    <s v="ORD-2346"/>
    <s v="2025-08-13"/>
    <x v="1"/>
    <s v="Consumer"/>
    <x v="0"/>
    <s v="Bookcases"/>
    <n v="90.8"/>
    <n v="5"/>
    <n v="-9.11"/>
  </r>
  <r>
    <s v="ORD-2347"/>
    <s v="2025-08-13"/>
    <x v="1"/>
    <s v="Consumer"/>
    <x v="0"/>
    <s v="Tables"/>
    <n v="405.15"/>
    <n v="8"/>
    <n v="27.5"/>
  </r>
  <r>
    <s v="ORD-2348"/>
    <s v="2025-08-13"/>
    <x v="3"/>
    <s v="Consumer"/>
    <x v="1"/>
    <s v="Paper"/>
    <n v="138.06"/>
    <n v="3"/>
    <n v="38.81"/>
  </r>
  <r>
    <s v="ORD-2349"/>
    <s v="2025-08-13"/>
    <x v="3"/>
    <s v="Consumer"/>
    <x v="2"/>
    <s v="Laptops"/>
    <n v="67.150000000000006"/>
    <n v="7"/>
    <n v="22.59"/>
  </r>
  <r>
    <s v="ORD-2350"/>
    <s v="2025-08-14"/>
    <x v="0"/>
    <s v="Consumer"/>
    <x v="1"/>
    <s v="Binders"/>
    <n v="201.8"/>
    <n v="8"/>
    <n v="36.450000000000003"/>
  </r>
  <r>
    <s v="ORD-2351"/>
    <s v="2025-08-14"/>
    <x v="2"/>
    <s v="Home Office"/>
    <x v="0"/>
    <s v="Tables"/>
    <n v="181.34"/>
    <n v="6"/>
    <n v="-13.26"/>
  </r>
  <r>
    <s v="ORD-2352"/>
    <s v="2025-08-14"/>
    <x v="1"/>
    <s v="Home Office"/>
    <x v="0"/>
    <s v="Bookcases"/>
    <n v="698.2"/>
    <n v="7"/>
    <n v="-118.13"/>
  </r>
  <r>
    <s v="ORD-2353"/>
    <s v="2025-08-14"/>
    <x v="0"/>
    <s v="Consumer"/>
    <x v="1"/>
    <s v="Paper"/>
    <n v="66.19"/>
    <n v="2"/>
    <n v="22.79"/>
  </r>
  <r>
    <s v="ORD-2354"/>
    <s v="2025-08-14"/>
    <x v="1"/>
    <s v="Home Office"/>
    <x v="0"/>
    <s v="Tables"/>
    <n v="187.24"/>
    <n v="8"/>
    <n v="-23.59"/>
  </r>
  <r>
    <s v="ORD-2355"/>
    <s v="2025-08-14"/>
    <x v="3"/>
    <s v="Home Office"/>
    <x v="1"/>
    <s v="Binders"/>
    <n v="28.01"/>
    <n v="5"/>
    <n v="6.06"/>
  </r>
  <r>
    <s v="ORD-2356"/>
    <s v="2025-08-15"/>
    <x v="1"/>
    <s v="Corporate"/>
    <x v="1"/>
    <s v="Storage"/>
    <n v="38.1"/>
    <n v="7"/>
    <n v="9.75"/>
  </r>
  <r>
    <s v="ORD-2357"/>
    <s v="2025-08-15"/>
    <x v="2"/>
    <s v="Consumer"/>
    <x v="0"/>
    <s v="Bookcases"/>
    <n v="20.59"/>
    <n v="1"/>
    <n v="-2.17"/>
  </r>
  <r>
    <s v="ORD-2358"/>
    <s v="2025-08-15"/>
    <x v="2"/>
    <s v="Corporate"/>
    <x v="2"/>
    <s v="Phones"/>
    <n v="1148.78"/>
    <n v="5"/>
    <n v="406.44"/>
  </r>
  <r>
    <s v="ORD-2359"/>
    <s v="2025-08-15"/>
    <x v="3"/>
    <s v="Home Office"/>
    <x v="0"/>
    <s v="Tables"/>
    <n v="263.13"/>
    <n v="1"/>
    <n v="6.95"/>
  </r>
  <r>
    <s v="ORD-2360"/>
    <s v="2025-08-15"/>
    <x v="2"/>
    <s v="Corporate"/>
    <x v="1"/>
    <s v="Paper"/>
    <n v="251.77"/>
    <n v="8"/>
    <n v="81.27"/>
  </r>
  <r>
    <s v="ORD-2361"/>
    <s v="2025-08-15"/>
    <x v="2"/>
    <s v="Consumer"/>
    <x v="2"/>
    <s v="Phones"/>
    <n v="126.92"/>
    <n v="4"/>
    <n v="25.77"/>
  </r>
  <r>
    <s v="ORD-2362"/>
    <s v="2025-08-16"/>
    <x v="0"/>
    <s v="Corporate"/>
    <x v="1"/>
    <s v="Paper"/>
    <n v="73.52"/>
    <n v="4"/>
    <n v="1.57"/>
  </r>
  <r>
    <s v="ORD-2363"/>
    <s v="2025-08-16"/>
    <x v="1"/>
    <s v="Corporate"/>
    <x v="1"/>
    <s v="Storage"/>
    <n v="44.6"/>
    <n v="2"/>
    <n v="4.4400000000000004"/>
  </r>
  <r>
    <s v="ORD-2364"/>
    <s v="2025-08-16"/>
    <x v="3"/>
    <s v="Corporate"/>
    <x v="1"/>
    <s v="Storage"/>
    <n v="70.25"/>
    <n v="5"/>
    <n v="12"/>
  </r>
  <r>
    <s v="ORD-2365"/>
    <s v="2025-08-16"/>
    <x v="3"/>
    <s v="Consumer"/>
    <x v="2"/>
    <s v="Accessories"/>
    <n v="90.73"/>
    <n v="1"/>
    <n v="23.21"/>
  </r>
  <r>
    <s v="ORD-2366"/>
    <s v="2025-08-16"/>
    <x v="3"/>
    <s v="Consumer"/>
    <x v="1"/>
    <s v="Storage"/>
    <n v="231.78"/>
    <n v="9"/>
    <n v="25.65"/>
  </r>
  <r>
    <s v="ORD-2367"/>
    <s v="2025-08-16"/>
    <x v="3"/>
    <s v="Home Office"/>
    <x v="1"/>
    <s v="Binders"/>
    <n v="136.37"/>
    <n v="5"/>
    <n v="-5.58"/>
  </r>
  <r>
    <s v="ORD-2368"/>
    <s v="2025-08-17"/>
    <x v="3"/>
    <s v="Home Office"/>
    <x v="2"/>
    <s v="Laptops"/>
    <n v="32.1"/>
    <n v="6"/>
    <n v="9.5399999999999991"/>
  </r>
  <r>
    <s v="ORD-2369"/>
    <s v="2025-08-17"/>
    <x v="2"/>
    <s v="Consumer"/>
    <x v="2"/>
    <s v="Accessories"/>
    <n v="22.73"/>
    <n v="2"/>
    <n v="10.17"/>
  </r>
  <r>
    <s v="ORD-2370"/>
    <s v="2025-08-17"/>
    <x v="0"/>
    <s v="Home Office"/>
    <x v="1"/>
    <s v="Paper"/>
    <n v="36.19"/>
    <n v="1"/>
    <n v="7.11"/>
  </r>
  <r>
    <s v="ORD-2371"/>
    <s v="2025-08-17"/>
    <x v="3"/>
    <s v="Consumer"/>
    <x v="2"/>
    <s v="Phones"/>
    <n v="99.27"/>
    <n v="4"/>
    <n v="30.86"/>
  </r>
  <r>
    <s v="ORD-2372"/>
    <s v="2025-08-17"/>
    <x v="0"/>
    <s v="Corporate"/>
    <x v="1"/>
    <s v="Storage"/>
    <n v="425.89"/>
    <n v="7"/>
    <n v="88.26"/>
  </r>
  <r>
    <s v="ORD-2373"/>
    <s v="2025-08-17"/>
    <x v="0"/>
    <s v="Corporate"/>
    <x v="0"/>
    <s v="Chairs"/>
    <n v="172.17"/>
    <n v="6"/>
    <n v="-1.77"/>
  </r>
  <r>
    <s v="ORD-2374"/>
    <s v="2025-08-18"/>
    <x v="2"/>
    <s v="Home Office"/>
    <x v="2"/>
    <s v="Phones"/>
    <n v="262.79000000000002"/>
    <n v="1"/>
    <n v="90.18"/>
  </r>
  <r>
    <s v="ORD-2375"/>
    <s v="2025-08-18"/>
    <x v="3"/>
    <s v="Home Office"/>
    <x v="1"/>
    <s v="Binders"/>
    <n v="114.21"/>
    <n v="1"/>
    <n v="21.65"/>
  </r>
  <r>
    <s v="ORD-2376"/>
    <s v="2025-08-18"/>
    <x v="2"/>
    <s v="Consumer"/>
    <x v="0"/>
    <s v="Bookcases"/>
    <n v="87.33"/>
    <n v="8"/>
    <n v="-7.1"/>
  </r>
  <r>
    <s v="ORD-2377"/>
    <s v="2025-08-18"/>
    <x v="3"/>
    <s v="Home Office"/>
    <x v="0"/>
    <s v="Tables"/>
    <n v="37.21"/>
    <n v="4"/>
    <n v="-4.82"/>
  </r>
  <r>
    <s v="ORD-2378"/>
    <s v="2025-08-18"/>
    <x v="2"/>
    <s v="Consumer"/>
    <x v="0"/>
    <s v="Chairs"/>
    <n v="333.04"/>
    <n v="5"/>
    <n v="-24.94"/>
  </r>
  <r>
    <s v="ORD-2379"/>
    <s v="2025-08-18"/>
    <x v="0"/>
    <s v="Corporate"/>
    <x v="0"/>
    <s v="Chairs"/>
    <n v="249.29"/>
    <n v="7"/>
    <n v="-4.63"/>
  </r>
  <r>
    <s v="ORD-2380"/>
    <s v="2025-08-19"/>
    <x v="3"/>
    <s v="Corporate"/>
    <x v="2"/>
    <s v="Accessories"/>
    <n v="47.61"/>
    <n v="8"/>
    <n v="10.4"/>
  </r>
  <r>
    <s v="ORD-2381"/>
    <s v="2025-08-19"/>
    <x v="1"/>
    <s v="Corporate"/>
    <x v="0"/>
    <s v="Chairs"/>
    <n v="127.7"/>
    <n v="7"/>
    <n v="-2.37"/>
  </r>
  <r>
    <s v="ORD-2382"/>
    <s v="2025-08-19"/>
    <x v="0"/>
    <s v="Consumer"/>
    <x v="1"/>
    <s v="Storage"/>
    <n v="120.23"/>
    <n v="2"/>
    <n v="23.31"/>
  </r>
  <r>
    <s v="ORD-2383"/>
    <s v="2025-08-19"/>
    <x v="1"/>
    <s v="Home Office"/>
    <x v="2"/>
    <s v="Phones"/>
    <n v="167.16"/>
    <n v="4"/>
    <n v="55.72"/>
  </r>
  <r>
    <s v="ORD-2384"/>
    <s v="2025-08-19"/>
    <x v="0"/>
    <s v="Consumer"/>
    <x v="1"/>
    <s v="Storage"/>
    <n v="458.34"/>
    <n v="1"/>
    <n v="127.55"/>
  </r>
  <r>
    <s v="ORD-2385"/>
    <s v="2025-08-19"/>
    <x v="2"/>
    <s v="Consumer"/>
    <x v="0"/>
    <s v="Chairs"/>
    <n v="150.04"/>
    <n v="9"/>
    <n v="-6.33"/>
  </r>
  <r>
    <s v="ORD-2386"/>
    <s v="2025-08-20"/>
    <x v="3"/>
    <s v="Corporate"/>
    <x v="1"/>
    <s v="Paper"/>
    <n v="136.55000000000001"/>
    <n v="3"/>
    <n v="2.62"/>
  </r>
  <r>
    <s v="ORD-2387"/>
    <s v="2025-08-20"/>
    <x v="0"/>
    <s v="Consumer"/>
    <x v="2"/>
    <s v="Phones"/>
    <n v="27.74"/>
    <n v="3"/>
    <n v="5.98"/>
  </r>
  <r>
    <s v="ORD-2388"/>
    <s v="2025-08-20"/>
    <x v="2"/>
    <s v="Home Office"/>
    <x v="1"/>
    <s v="Paper"/>
    <n v="29.75"/>
    <n v="9"/>
    <n v="4.59"/>
  </r>
  <r>
    <s v="ORD-2389"/>
    <s v="2025-08-20"/>
    <x v="3"/>
    <s v="Consumer"/>
    <x v="0"/>
    <s v="Chairs"/>
    <n v="51.12"/>
    <n v="3"/>
    <n v="-11.94"/>
  </r>
  <r>
    <s v="ORD-2390"/>
    <s v="2025-08-20"/>
    <x v="3"/>
    <s v="Consumer"/>
    <x v="2"/>
    <s v="Laptops"/>
    <n v="24.95"/>
    <n v="8"/>
    <n v="9.6999999999999993"/>
  </r>
  <r>
    <s v="ORD-2391"/>
    <s v="2025-08-20"/>
    <x v="0"/>
    <s v="Home Office"/>
    <x v="2"/>
    <s v="Laptops"/>
    <n v="224.01"/>
    <n v="2"/>
    <n v="59.19"/>
  </r>
  <r>
    <s v="ORD-2392"/>
    <s v="2025-08-21"/>
    <x v="3"/>
    <s v="Corporate"/>
    <x v="2"/>
    <s v="Laptops"/>
    <n v="212.74"/>
    <n v="3"/>
    <n v="61.3"/>
  </r>
  <r>
    <s v="ORD-2393"/>
    <s v="2025-08-21"/>
    <x v="0"/>
    <s v="Consumer"/>
    <x v="0"/>
    <s v="Bookcases"/>
    <n v="41.94"/>
    <n v="2"/>
    <n v="3.63"/>
  </r>
  <r>
    <s v="ORD-2394"/>
    <s v="2025-08-21"/>
    <x v="3"/>
    <s v="Corporate"/>
    <x v="0"/>
    <s v="Tables"/>
    <n v="291.26"/>
    <n v="1"/>
    <n v="-32.92"/>
  </r>
  <r>
    <s v="ORD-2395"/>
    <s v="2025-08-21"/>
    <x v="1"/>
    <s v="Corporate"/>
    <x v="1"/>
    <s v="Paper"/>
    <n v="45.22"/>
    <n v="2"/>
    <n v="9.3800000000000008"/>
  </r>
  <r>
    <s v="ORD-2396"/>
    <s v="2025-08-21"/>
    <x v="2"/>
    <s v="Corporate"/>
    <x v="0"/>
    <s v="Chairs"/>
    <n v="73.75"/>
    <n v="8"/>
    <n v="-4.5"/>
  </r>
  <r>
    <s v="ORD-2397"/>
    <s v="2025-08-21"/>
    <x v="1"/>
    <s v="Consumer"/>
    <x v="2"/>
    <s v="Laptops"/>
    <n v="62.95"/>
    <n v="9"/>
    <n v="14.58"/>
  </r>
  <r>
    <s v="ORD-2398"/>
    <s v="2025-08-22"/>
    <x v="0"/>
    <s v="Home Office"/>
    <x v="1"/>
    <s v="Paper"/>
    <n v="89.86"/>
    <n v="2"/>
    <n v="6.54"/>
  </r>
  <r>
    <s v="ORD-2399"/>
    <s v="2025-08-22"/>
    <x v="1"/>
    <s v="Home Office"/>
    <x v="1"/>
    <s v="Storage"/>
    <n v="64.09"/>
    <n v="7"/>
    <n v="20.29"/>
  </r>
  <r>
    <s v="ORD-2400"/>
    <s v="2025-08-22"/>
    <x v="0"/>
    <s v="Corporate"/>
    <x v="2"/>
    <s v="Phones"/>
    <n v="120.69"/>
    <n v="5"/>
    <n v="25.64"/>
  </r>
  <r>
    <s v="ORD-2401"/>
    <s v="2025-08-22"/>
    <x v="3"/>
    <s v="Consumer"/>
    <x v="2"/>
    <s v="Accessories"/>
    <n v="98.49"/>
    <n v="3"/>
    <n v="31.51"/>
  </r>
  <r>
    <s v="ORD-2402"/>
    <s v="2025-08-22"/>
    <x v="3"/>
    <s v="Home Office"/>
    <x v="2"/>
    <s v="Laptops"/>
    <n v="666.53"/>
    <n v="9"/>
    <n v="41.66"/>
  </r>
  <r>
    <s v="ORD-2403"/>
    <s v="2025-08-22"/>
    <x v="0"/>
    <s v="Corporate"/>
    <x v="1"/>
    <s v="Storage"/>
    <n v="28.63"/>
    <n v="6"/>
    <n v="7.67"/>
  </r>
  <r>
    <s v="ORD-2404"/>
    <s v="2025-08-23"/>
    <x v="1"/>
    <s v="Corporate"/>
    <x v="1"/>
    <s v="Binders"/>
    <n v="43"/>
    <n v="1"/>
    <n v="10.97"/>
  </r>
  <r>
    <s v="ORD-2405"/>
    <s v="2025-08-23"/>
    <x v="3"/>
    <s v="Consumer"/>
    <x v="0"/>
    <s v="Bookcases"/>
    <n v="28.14"/>
    <n v="5"/>
    <n v="-1.1299999999999999"/>
  </r>
  <r>
    <s v="ORD-2406"/>
    <s v="2025-08-23"/>
    <x v="2"/>
    <s v="Home Office"/>
    <x v="1"/>
    <s v="Binders"/>
    <n v="167.46"/>
    <n v="7"/>
    <n v="21.32"/>
  </r>
  <r>
    <s v="ORD-2407"/>
    <s v="2025-08-23"/>
    <x v="3"/>
    <s v="Corporate"/>
    <x v="1"/>
    <s v="Storage"/>
    <n v="28.41"/>
    <n v="4"/>
    <n v="5.4"/>
  </r>
  <r>
    <s v="ORD-2408"/>
    <s v="2025-08-23"/>
    <x v="2"/>
    <s v="Consumer"/>
    <x v="0"/>
    <s v="Bookcases"/>
    <n v="291.58999999999997"/>
    <n v="8"/>
    <n v="52.16"/>
  </r>
  <r>
    <s v="ORD-2409"/>
    <s v="2025-08-23"/>
    <x v="1"/>
    <s v="Consumer"/>
    <x v="1"/>
    <s v="Storage"/>
    <n v="127.6"/>
    <n v="5"/>
    <n v="-3.36"/>
  </r>
  <r>
    <s v="ORD-2410"/>
    <s v="2025-08-24"/>
    <x v="2"/>
    <s v="Home Office"/>
    <x v="2"/>
    <s v="Laptops"/>
    <n v="132.30000000000001"/>
    <n v="9"/>
    <n v="43.42"/>
  </r>
  <r>
    <s v="ORD-2411"/>
    <s v="2025-08-24"/>
    <x v="2"/>
    <s v="Consumer"/>
    <x v="2"/>
    <s v="Phones"/>
    <n v="143.69"/>
    <n v="9"/>
    <n v="22.82"/>
  </r>
  <r>
    <s v="ORD-2412"/>
    <s v="2025-08-24"/>
    <x v="2"/>
    <s v="Home Office"/>
    <x v="2"/>
    <s v="Laptops"/>
    <n v="48.1"/>
    <n v="9"/>
    <n v="11.93"/>
  </r>
  <r>
    <s v="ORD-2413"/>
    <s v="2025-08-24"/>
    <x v="2"/>
    <s v="Corporate"/>
    <x v="2"/>
    <s v="Accessories"/>
    <n v="53.04"/>
    <n v="1"/>
    <n v="11.95"/>
  </r>
  <r>
    <s v="ORD-2414"/>
    <s v="2025-08-24"/>
    <x v="3"/>
    <s v="Corporate"/>
    <x v="0"/>
    <s v="Bookcases"/>
    <n v="77.59"/>
    <n v="2"/>
    <n v="-7.2"/>
  </r>
  <r>
    <s v="ORD-2415"/>
    <s v="2025-08-24"/>
    <x v="2"/>
    <s v="Consumer"/>
    <x v="1"/>
    <s v="Binders"/>
    <n v="155.02000000000001"/>
    <n v="3"/>
    <n v="23.09"/>
  </r>
  <r>
    <s v="ORD-2416"/>
    <s v="2025-08-25"/>
    <x v="3"/>
    <s v="Consumer"/>
    <x v="2"/>
    <s v="Phones"/>
    <n v="55.38"/>
    <n v="4"/>
    <n v="7.56"/>
  </r>
  <r>
    <s v="ORD-2417"/>
    <s v="2025-08-25"/>
    <x v="2"/>
    <s v="Home Office"/>
    <x v="2"/>
    <s v="Phones"/>
    <n v="38.549999999999997"/>
    <n v="9"/>
    <n v="13.6"/>
  </r>
  <r>
    <s v="ORD-2418"/>
    <s v="2025-08-25"/>
    <x v="0"/>
    <s v="Consumer"/>
    <x v="0"/>
    <s v="Bookcases"/>
    <n v="546.57000000000005"/>
    <n v="6"/>
    <n v="-125.39"/>
  </r>
  <r>
    <s v="ORD-2419"/>
    <s v="2025-08-25"/>
    <x v="1"/>
    <s v="Corporate"/>
    <x v="1"/>
    <s v="Paper"/>
    <n v="23.33"/>
    <n v="1"/>
    <n v="4.76"/>
  </r>
  <r>
    <s v="ORD-2420"/>
    <s v="2025-08-25"/>
    <x v="2"/>
    <s v="Consumer"/>
    <x v="0"/>
    <s v="Tables"/>
    <n v="263.45"/>
    <n v="9"/>
    <n v="-21.78"/>
  </r>
  <r>
    <s v="ORD-2421"/>
    <s v="2025-08-25"/>
    <x v="0"/>
    <s v="Consumer"/>
    <x v="0"/>
    <s v="Chairs"/>
    <n v="252.7"/>
    <n v="6"/>
    <n v="-42.22"/>
  </r>
  <r>
    <s v="ORD-2422"/>
    <s v="2025-08-26"/>
    <x v="2"/>
    <s v="Consumer"/>
    <x v="2"/>
    <s v="Accessories"/>
    <n v="72.91"/>
    <n v="4"/>
    <n v="19.7"/>
  </r>
  <r>
    <s v="ORD-2423"/>
    <s v="2025-08-26"/>
    <x v="2"/>
    <s v="Corporate"/>
    <x v="2"/>
    <s v="Laptops"/>
    <n v="41.86"/>
    <n v="4"/>
    <n v="3.95"/>
  </r>
  <r>
    <s v="ORD-2424"/>
    <s v="2025-08-26"/>
    <x v="2"/>
    <s v="Home Office"/>
    <x v="1"/>
    <s v="Storage"/>
    <n v="43.61"/>
    <n v="3"/>
    <n v="6.71"/>
  </r>
  <r>
    <s v="ORD-2425"/>
    <s v="2025-08-26"/>
    <x v="0"/>
    <s v="Consumer"/>
    <x v="1"/>
    <s v="Binders"/>
    <n v="199.32"/>
    <n v="7"/>
    <n v="1.54"/>
  </r>
  <r>
    <s v="ORD-2426"/>
    <s v="2025-08-26"/>
    <x v="1"/>
    <s v="Consumer"/>
    <x v="2"/>
    <s v="Phones"/>
    <n v="174.42"/>
    <n v="3"/>
    <n v="51.65"/>
  </r>
  <r>
    <s v="ORD-2427"/>
    <s v="2025-08-26"/>
    <x v="0"/>
    <s v="Consumer"/>
    <x v="1"/>
    <s v="Storage"/>
    <n v="249"/>
    <n v="2"/>
    <n v="14.33"/>
  </r>
  <r>
    <s v="ORD-2428"/>
    <s v="2025-08-27"/>
    <x v="1"/>
    <s v="Corporate"/>
    <x v="1"/>
    <s v="Storage"/>
    <n v="435.84"/>
    <n v="8"/>
    <n v="45.72"/>
  </r>
  <r>
    <s v="ORD-2429"/>
    <s v="2025-08-27"/>
    <x v="2"/>
    <s v="Consumer"/>
    <x v="1"/>
    <s v="Storage"/>
    <n v="196.61"/>
    <n v="4"/>
    <n v="35.270000000000003"/>
  </r>
  <r>
    <s v="ORD-2430"/>
    <s v="2025-08-27"/>
    <x v="3"/>
    <s v="Home Office"/>
    <x v="0"/>
    <s v="Tables"/>
    <n v="45.41"/>
    <n v="8"/>
    <n v="-5.78"/>
  </r>
  <r>
    <s v="ORD-2431"/>
    <s v="2025-08-27"/>
    <x v="2"/>
    <s v="Corporate"/>
    <x v="0"/>
    <s v="Bookcases"/>
    <n v="61.85"/>
    <n v="1"/>
    <n v="-3.45"/>
  </r>
  <r>
    <s v="ORD-2432"/>
    <s v="2025-08-27"/>
    <x v="1"/>
    <s v="Corporate"/>
    <x v="0"/>
    <s v="Bookcases"/>
    <n v="296.95999999999998"/>
    <n v="5"/>
    <n v="-59.8"/>
  </r>
  <r>
    <s v="ORD-2433"/>
    <s v="2025-08-27"/>
    <x v="0"/>
    <s v="Consumer"/>
    <x v="1"/>
    <s v="Binders"/>
    <n v="55.23"/>
    <n v="9"/>
    <n v="11.77"/>
  </r>
  <r>
    <s v="ORD-2434"/>
    <s v="2025-08-28"/>
    <x v="2"/>
    <s v="Home Office"/>
    <x v="2"/>
    <s v="Phones"/>
    <n v="31.29"/>
    <n v="1"/>
    <n v="13.34"/>
  </r>
  <r>
    <s v="ORD-2435"/>
    <s v="2025-08-28"/>
    <x v="0"/>
    <s v="Consumer"/>
    <x v="2"/>
    <s v="Accessories"/>
    <n v="202.24"/>
    <n v="4"/>
    <n v="107.03"/>
  </r>
  <r>
    <s v="ORD-2436"/>
    <s v="2025-08-28"/>
    <x v="0"/>
    <s v="Consumer"/>
    <x v="0"/>
    <s v="Bookcases"/>
    <n v="97.26"/>
    <n v="6"/>
    <n v="-3.98"/>
  </r>
  <r>
    <s v="ORD-2437"/>
    <s v="2025-08-28"/>
    <x v="0"/>
    <s v="Corporate"/>
    <x v="1"/>
    <s v="Paper"/>
    <n v="398.93"/>
    <n v="8"/>
    <n v="91.28"/>
  </r>
  <r>
    <s v="ORD-2438"/>
    <s v="2025-08-28"/>
    <x v="2"/>
    <s v="Corporate"/>
    <x v="2"/>
    <s v="Phones"/>
    <n v="177.58"/>
    <n v="3"/>
    <n v="12.77"/>
  </r>
  <r>
    <s v="ORD-2439"/>
    <s v="2025-08-28"/>
    <x v="0"/>
    <s v="Consumer"/>
    <x v="1"/>
    <s v="Binders"/>
    <n v="34.22"/>
    <n v="5"/>
    <n v="10.28"/>
  </r>
  <r>
    <s v="ORD-2440"/>
    <s v="2025-08-29"/>
    <x v="0"/>
    <s v="Consumer"/>
    <x v="1"/>
    <s v="Paper"/>
    <n v="463.06"/>
    <n v="7"/>
    <n v="105.4"/>
  </r>
  <r>
    <s v="ORD-2441"/>
    <s v="2025-08-29"/>
    <x v="2"/>
    <s v="Corporate"/>
    <x v="2"/>
    <s v="Phones"/>
    <n v="64.87"/>
    <n v="1"/>
    <n v="13.08"/>
  </r>
  <r>
    <s v="ORD-2442"/>
    <s v="2025-08-29"/>
    <x v="0"/>
    <s v="Consumer"/>
    <x v="1"/>
    <s v="Paper"/>
    <n v="81.7"/>
    <n v="7"/>
    <n v="22.36"/>
  </r>
  <r>
    <s v="ORD-2443"/>
    <s v="2025-08-29"/>
    <x v="2"/>
    <s v="Home Office"/>
    <x v="0"/>
    <s v="Bookcases"/>
    <n v="97.19"/>
    <n v="8"/>
    <n v="-7.33"/>
  </r>
  <r>
    <s v="ORD-2444"/>
    <s v="2025-08-29"/>
    <x v="1"/>
    <s v="Corporate"/>
    <x v="1"/>
    <s v="Binders"/>
    <n v="27.89"/>
    <n v="8"/>
    <n v="2.91"/>
  </r>
  <r>
    <s v="ORD-2445"/>
    <s v="2025-08-29"/>
    <x v="1"/>
    <s v="Consumer"/>
    <x v="2"/>
    <s v="Phones"/>
    <n v="122.93"/>
    <n v="9"/>
    <n v="36.58"/>
  </r>
  <r>
    <s v="ORD-2446"/>
    <s v="2025-08-30"/>
    <x v="1"/>
    <s v="Consumer"/>
    <x v="1"/>
    <s v="Storage"/>
    <n v="39.74"/>
    <n v="6"/>
    <n v="1.74"/>
  </r>
  <r>
    <s v="ORD-2447"/>
    <s v="2025-08-30"/>
    <x v="0"/>
    <s v="Consumer"/>
    <x v="1"/>
    <s v="Storage"/>
    <n v="96.87"/>
    <n v="6"/>
    <n v="24.43"/>
  </r>
  <r>
    <s v="ORD-2448"/>
    <s v="2025-08-30"/>
    <x v="3"/>
    <s v="Corporate"/>
    <x v="1"/>
    <s v="Paper"/>
    <n v="84.78"/>
    <n v="2"/>
    <n v="3.76"/>
  </r>
  <r>
    <s v="ORD-2449"/>
    <s v="2025-08-30"/>
    <x v="3"/>
    <s v="Corporate"/>
    <x v="1"/>
    <s v="Paper"/>
    <n v="242.32"/>
    <n v="3"/>
    <n v="10.9"/>
  </r>
  <r>
    <s v="ORD-2450"/>
    <s v="2025-08-30"/>
    <x v="0"/>
    <s v="Consumer"/>
    <x v="0"/>
    <s v="Tables"/>
    <n v="263.81"/>
    <n v="4"/>
    <n v="-37.19"/>
  </r>
  <r>
    <s v="ORD-2451"/>
    <s v="2025-08-30"/>
    <x v="3"/>
    <s v="Corporate"/>
    <x v="1"/>
    <s v="Storage"/>
    <n v="44.98"/>
    <n v="4"/>
    <n v="10.16"/>
  </r>
  <r>
    <s v="ORD-2452"/>
    <s v="2025-08-31"/>
    <x v="2"/>
    <s v="Home Office"/>
    <x v="1"/>
    <s v="Binders"/>
    <n v="88.49"/>
    <n v="8"/>
    <n v="7.82"/>
  </r>
  <r>
    <s v="ORD-2453"/>
    <s v="2025-08-31"/>
    <x v="3"/>
    <s v="Consumer"/>
    <x v="0"/>
    <s v="Bookcases"/>
    <n v="90.11"/>
    <n v="1"/>
    <n v="-16.649999999999999"/>
  </r>
  <r>
    <s v="ORD-2454"/>
    <s v="2025-08-31"/>
    <x v="0"/>
    <s v="Home Office"/>
    <x v="2"/>
    <s v="Accessories"/>
    <n v="44.63"/>
    <n v="4"/>
    <n v="8.4499999999999993"/>
  </r>
  <r>
    <s v="ORD-2455"/>
    <s v="2025-08-31"/>
    <x v="0"/>
    <s v="Consumer"/>
    <x v="1"/>
    <s v="Paper"/>
    <n v="260.26"/>
    <n v="4"/>
    <n v="38.21"/>
  </r>
  <r>
    <s v="ORD-2456"/>
    <s v="2025-08-31"/>
    <x v="2"/>
    <s v="Consumer"/>
    <x v="1"/>
    <s v="Binders"/>
    <n v="204.25"/>
    <n v="1"/>
    <n v="6.52"/>
  </r>
  <r>
    <s v="ORD-2457"/>
    <s v="2025-08-31"/>
    <x v="1"/>
    <s v="Consumer"/>
    <x v="1"/>
    <s v="Binders"/>
    <n v="51.68"/>
    <n v="3"/>
    <n v="1.8"/>
  </r>
  <r>
    <s v="ORD-2458"/>
    <s v="2025-09-01"/>
    <x v="0"/>
    <s v="Consumer"/>
    <x v="2"/>
    <s v="Accessories"/>
    <n v="88.53"/>
    <n v="5"/>
    <n v="40.82"/>
  </r>
  <r>
    <s v="ORD-2459"/>
    <s v="2025-09-01"/>
    <x v="2"/>
    <s v="Consumer"/>
    <x v="1"/>
    <s v="Paper"/>
    <n v="36.770000000000003"/>
    <n v="6"/>
    <n v="2.35"/>
  </r>
  <r>
    <s v="ORD-2460"/>
    <s v="2025-09-01"/>
    <x v="3"/>
    <s v="Consumer"/>
    <x v="0"/>
    <s v="Bookcases"/>
    <n v="168.41"/>
    <n v="9"/>
    <n v="-13.86"/>
  </r>
  <r>
    <s v="ORD-2461"/>
    <s v="2025-09-01"/>
    <x v="3"/>
    <s v="Home Office"/>
    <x v="1"/>
    <s v="Storage"/>
    <n v="39.409999999999997"/>
    <n v="9"/>
    <n v="4.46"/>
  </r>
  <r>
    <s v="ORD-2462"/>
    <s v="2025-09-01"/>
    <x v="2"/>
    <s v="Home Office"/>
    <x v="2"/>
    <s v="Accessories"/>
    <n v="659.6"/>
    <n v="9"/>
    <n v="137.11000000000001"/>
  </r>
  <r>
    <s v="ORD-2463"/>
    <s v="2025-09-01"/>
    <x v="2"/>
    <s v="Corporate"/>
    <x v="1"/>
    <s v="Binders"/>
    <n v="247.58"/>
    <n v="1"/>
    <n v="52.52"/>
  </r>
  <r>
    <s v="ORD-2464"/>
    <s v="2025-09-02"/>
    <x v="0"/>
    <s v="Consumer"/>
    <x v="1"/>
    <s v="Binders"/>
    <n v="94.2"/>
    <n v="9"/>
    <n v="23.06"/>
  </r>
  <r>
    <s v="ORD-2465"/>
    <s v="2025-09-02"/>
    <x v="3"/>
    <s v="Consumer"/>
    <x v="2"/>
    <s v="Laptops"/>
    <n v="149.61000000000001"/>
    <n v="8"/>
    <n v="32.83"/>
  </r>
  <r>
    <s v="ORD-2466"/>
    <s v="2025-09-02"/>
    <x v="2"/>
    <s v="Consumer"/>
    <x v="1"/>
    <s v="Binders"/>
    <n v="383.45"/>
    <n v="2"/>
    <n v="10.1"/>
  </r>
  <r>
    <s v="ORD-2467"/>
    <s v="2025-09-02"/>
    <x v="3"/>
    <s v="Corporate"/>
    <x v="0"/>
    <s v="Chairs"/>
    <n v="141.15"/>
    <n v="1"/>
    <n v="10.93"/>
  </r>
  <r>
    <s v="ORD-2468"/>
    <s v="2025-09-02"/>
    <x v="2"/>
    <s v="Home Office"/>
    <x v="1"/>
    <s v="Binders"/>
    <n v="48.76"/>
    <n v="1"/>
    <n v="6.85"/>
  </r>
  <r>
    <s v="ORD-2469"/>
    <s v="2025-09-02"/>
    <x v="3"/>
    <s v="Consumer"/>
    <x v="1"/>
    <s v="Paper"/>
    <n v="91.39"/>
    <n v="6"/>
    <n v="29.52"/>
  </r>
  <r>
    <s v="ORD-2470"/>
    <s v="2025-09-03"/>
    <x v="1"/>
    <s v="Consumer"/>
    <x v="0"/>
    <s v="Chairs"/>
    <n v="297.86"/>
    <n v="9"/>
    <n v="-81.78"/>
  </r>
  <r>
    <s v="ORD-2471"/>
    <s v="2025-09-03"/>
    <x v="0"/>
    <s v="Corporate"/>
    <x v="1"/>
    <s v="Binders"/>
    <n v="175.01"/>
    <n v="7"/>
    <n v="29.67"/>
  </r>
  <r>
    <s v="ORD-2472"/>
    <s v="2025-09-03"/>
    <x v="3"/>
    <s v="Consumer"/>
    <x v="1"/>
    <s v="Storage"/>
    <n v="177.78"/>
    <n v="5"/>
    <n v="60.78"/>
  </r>
  <r>
    <s v="ORD-2473"/>
    <s v="2025-09-03"/>
    <x v="1"/>
    <s v="Consumer"/>
    <x v="0"/>
    <s v="Tables"/>
    <n v="322.41000000000003"/>
    <n v="2"/>
    <n v="-27.51"/>
  </r>
  <r>
    <s v="ORD-2474"/>
    <s v="2025-09-03"/>
    <x v="3"/>
    <s v="Corporate"/>
    <x v="0"/>
    <s v="Bookcases"/>
    <n v="356.61"/>
    <n v="1"/>
    <n v="-25.87"/>
  </r>
  <r>
    <s v="ORD-2475"/>
    <s v="2025-09-03"/>
    <x v="3"/>
    <s v="Corporate"/>
    <x v="1"/>
    <s v="Paper"/>
    <n v="398.47"/>
    <n v="2"/>
    <n v="71.55"/>
  </r>
  <r>
    <s v="ORD-2476"/>
    <s v="2025-09-04"/>
    <x v="1"/>
    <s v="Consumer"/>
    <x v="1"/>
    <s v="Binders"/>
    <n v="34.950000000000003"/>
    <n v="1"/>
    <n v="3.29"/>
  </r>
  <r>
    <s v="ORD-2477"/>
    <s v="2025-09-04"/>
    <x v="3"/>
    <s v="Consumer"/>
    <x v="1"/>
    <s v="Binders"/>
    <n v="137.83000000000001"/>
    <n v="3"/>
    <n v="16.37"/>
  </r>
  <r>
    <s v="ORD-2478"/>
    <s v="2025-09-04"/>
    <x v="3"/>
    <s v="Home Office"/>
    <x v="1"/>
    <s v="Binders"/>
    <n v="222.36"/>
    <n v="6"/>
    <n v="25.84"/>
  </r>
  <r>
    <s v="ORD-2479"/>
    <s v="2025-09-04"/>
    <x v="0"/>
    <s v="Consumer"/>
    <x v="0"/>
    <s v="Bookcases"/>
    <n v="232.16"/>
    <n v="8"/>
    <n v="-26.17"/>
  </r>
  <r>
    <s v="ORD-2480"/>
    <s v="2025-09-04"/>
    <x v="1"/>
    <s v="Consumer"/>
    <x v="1"/>
    <s v="Binders"/>
    <n v="159.97999999999999"/>
    <n v="3"/>
    <n v="43.66"/>
  </r>
  <r>
    <s v="ORD-2481"/>
    <s v="2025-09-04"/>
    <x v="1"/>
    <s v="Consumer"/>
    <x v="2"/>
    <s v="Phones"/>
    <n v="47.37"/>
    <n v="9"/>
    <n v="14.03"/>
  </r>
  <r>
    <s v="ORD-2482"/>
    <s v="2025-09-05"/>
    <x v="2"/>
    <s v="Consumer"/>
    <x v="0"/>
    <s v="Bookcases"/>
    <n v="259.49"/>
    <n v="5"/>
    <n v="-6.47"/>
  </r>
  <r>
    <s v="ORD-2483"/>
    <s v="2025-09-05"/>
    <x v="3"/>
    <s v="Consumer"/>
    <x v="2"/>
    <s v="Laptops"/>
    <n v="211"/>
    <n v="7"/>
    <n v="69.81"/>
  </r>
  <r>
    <s v="ORD-2484"/>
    <s v="2025-09-05"/>
    <x v="0"/>
    <s v="Home Office"/>
    <x v="0"/>
    <s v="Chairs"/>
    <n v="33.51"/>
    <n v="8"/>
    <n v="-2.56"/>
  </r>
  <r>
    <s v="ORD-2485"/>
    <s v="2025-09-05"/>
    <x v="3"/>
    <s v="Consumer"/>
    <x v="0"/>
    <s v="Chairs"/>
    <n v="113.49"/>
    <n v="3"/>
    <n v="-14.46"/>
  </r>
  <r>
    <s v="ORD-2486"/>
    <s v="2025-09-05"/>
    <x v="3"/>
    <s v="Consumer"/>
    <x v="0"/>
    <s v="Chairs"/>
    <n v="48.67"/>
    <n v="2"/>
    <n v="-5.37"/>
  </r>
  <r>
    <s v="ORD-2487"/>
    <s v="2025-09-05"/>
    <x v="2"/>
    <s v="Corporate"/>
    <x v="1"/>
    <s v="Storage"/>
    <n v="81.760000000000005"/>
    <n v="2"/>
    <n v="12.28"/>
  </r>
  <r>
    <s v="ORD-2488"/>
    <s v="2025-09-06"/>
    <x v="3"/>
    <s v="Corporate"/>
    <x v="0"/>
    <s v="Chairs"/>
    <n v="22.74"/>
    <n v="5"/>
    <n v="-3.55"/>
  </r>
  <r>
    <s v="ORD-2489"/>
    <s v="2025-09-06"/>
    <x v="0"/>
    <s v="Home Office"/>
    <x v="0"/>
    <s v="Chairs"/>
    <n v="96.71"/>
    <n v="1"/>
    <n v="-9.67"/>
  </r>
  <r>
    <s v="ORD-2490"/>
    <s v="2025-09-06"/>
    <x v="0"/>
    <s v="Home Office"/>
    <x v="2"/>
    <s v="Laptops"/>
    <n v="139.74"/>
    <n v="2"/>
    <n v="27.72"/>
  </r>
  <r>
    <s v="ORD-2491"/>
    <s v="2025-09-06"/>
    <x v="2"/>
    <s v="Consumer"/>
    <x v="0"/>
    <s v="Bookcases"/>
    <n v="164.97"/>
    <n v="9"/>
    <n v="26.8"/>
  </r>
  <r>
    <s v="ORD-2492"/>
    <s v="2025-09-06"/>
    <x v="3"/>
    <s v="Corporate"/>
    <x v="2"/>
    <s v="Accessories"/>
    <n v="183.37"/>
    <n v="7"/>
    <n v="-5.0199999999999996"/>
  </r>
  <r>
    <s v="ORD-2493"/>
    <s v="2025-09-06"/>
    <x v="0"/>
    <s v="Consumer"/>
    <x v="2"/>
    <s v="Laptops"/>
    <n v="291.45"/>
    <n v="6"/>
    <n v="67.63"/>
  </r>
  <r>
    <s v="ORD-2494"/>
    <s v="2025-09-07"/>
    <x v="3"/>
    <s v="Home Office"/>
    <x v="1"/>
    <s v="Binders"/>
    <n v="56.4"/>
    <n v="9"/>
    <n v="18.190000000000001"/>
  </r>
  <r>
    <s v="ORD-2495"/>
    <s v="2025-09-07"/>
    <x v="3"/>
    <s v="Consumer"/>
    <x v="1"/>
    <s v="Storage"/>
    <n v="39.26"/>
    <n v="7"/>
    <n v="6.37"/>
  </r>
  <r>
    <s v="ORD-2496"/>
    <s v="2025-09-07"/>
    <x v="3"/>
    <s v="Home Office"/>
    <x v="1"/>
    <s v="Storage"/>
    <n v="306.11"/>
    <n v="5"/>
    <n v="68.98"/>
  </r>
  <r>
    <s v="ORD-2497"/>
    <s v="2025-09-07"/>
    <x v="2"/>
    <s v="Corporate"/>
    <x v="0"/>
    <s v="Bookcases"/>
    <n v="45.55"/>
    <n v="9"/>
    <n v="-1.82"/>
  </r>
  <r>
    <s v="ORD-2498"/>
    <s v="2025-09-07"/>
    <x v="3"/>
    <s v="Consumer"/>
    <x v="0"/>
    <s v="Tables"/>
    <n v="571.9"/>
    <n v="6"/>
    <n v="-66.760000000000005"/>
  </r>
  <r>
    <s v="ORD-2499"/>
    <s v="2025-09-07"/>
    <x v="0"/>
    <s v="Corporate"/>
    <x v="1"/>
    <s v="Storage"/>
    <n v="297.29000000000002"/>
    <n v="6"/>
    <n v="-22.0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5F00C30-F1A2-4352-97CC-C799B52E39DB}" name="SummaryPivot"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9:D13" firstHeaderRow="0" firstDataRow="1" firstDataCol="1"/>
  <pivotFields count="9">
    <pivotField showAll="0"/>
    <pivotField showAll="0"/>
    <pivotField showAll="0">
      <items count="5">
        <item x="0"/>
        <item x="3"/>
        <item h="1" x="2"/>
        <item h="1" x="1"/>
        <item t="default"/>
      </items>
    </pivotField>
    <pivotField showAll="0"/>
    <pivotField axis="axisRow" showAll="0">
      <items count="4">
        <item x="0"/>
        <item x="1"/>
        <item x="2"/>
        <item t="default"/>
      </items>
    </pivotField>
    <pivotField showAll="0"/>
    <pivotField dataField="1" showAll="0"/>
    <pivotField showAll="0"/>
    <pivotField dataField="1" showAll="0"/>
  </pivotFields>
  <rowFields count="1">
    <field x="4"/>
  </rowFields>
  <rowItems count="4">
    <i>
      <x/>
    </i>
    <i>
      <x v="1"/>
    </i>
    <i>
      <x v="2"/>
    </i>
    <i t="grand">
      <x/>
    </i>
  </rowItems>
  <colFields count="1">
    <field x="-2"/>
  </colFields>
  <colItems count="2">
    <i>
      <x/>
    </i>
    <i i="1">
      <x v="1"/>
    </i>
  </colItems>
  <dataFields count="2">
    <dataField name="Total Sales" fld="6" baseField="0" baseItem="0" numFmtId="166"/>
    <dataField name="Total Profit" fld="8" baseField="0" baseItem="0" numFmtId="166"/>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265B7F9-7AE3-4CDC-8AF1-5E92EFDFA64E}" sourceName="Region">
  <pivotTables>
    <pivotTable tabId="8" name="SummaryPivot"/>
  </pivotTables>
  <data>
    <tabular pivotCacheId="1353994391">
      <items count="4">
        <i x="0" s="1"/>
        <i x="3" s="1"/>
        <i x="2"/>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Slicer" xr10:uid="{1F897E5F-3B5F-4B24-8AAE-3E2CF5A610D6}" cache="Slicer_Region" caption="Select Reg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ED0A8-76F9-475B-96F0-02A769FF6A93}" name="SalesDataTable" displayName="SalesDataTable" ref="A1:I1501" totalsRowShown="0">
  <autoFilter ref="A1:I1501" xr:uid="{7C7ED0A8-76F9-475B-96F0-02A769FF6A93}"/>
  <tableColumns count="9">
    <tableColumn id="1" xr3:uid="{236105F0-A0F4-4A1E-8895-4540DAEF9485}" name="Order_ID"/>
    <tableColumn id="2" xr3:uid="{85E7338B-1467-417C-A7C4-3A050D2990BC}" name="Order_Date"/>
    <tableColumn id="3" xr3:uid="{79716B53-D51E-48D9-82D9-F56BD6B46829}" name="Region"/>
    <tableColumn id="4" xr3:uid="{943C465B-C6C6-4427-B7E3-7640D679A6D3}" name="Segment"/>
    <tableColumn id="5" xr3:uid="{C5C7657E-1796-4F63-9CBC-1E8A869B0F62}" name="Category"/>
    <tableColumn id="6" xr3:uid="{EE9423BF-C434-4BDF-ADB1-296F74A62F61}" name="Sub_Category"/>
    <tableColumn id="7" xr3:uid="{FF108FAA-FACA-4317-A9D0-3001D6F684DE}" name="Sales"/>
    <tableColumn id="8" xr3:uid="{57C21754-413D-4FD2-B138-1D960AF9A40A}" name="Quantity"/>
    <tableColumn id="9" xr3:uid="{3C2FD0B0-BFEF-4BAA-A8DA-36BECD5A8CCA}"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ADDC2-D5C6-40A0-8B9C-EBE5E4521178}">
  <dimension ref="B2:P13"/>
  <sheetViews>
    <sheetView tabSelected="1" zoomScale="60" zoomScaleNormal="60" workbookViewId="0">
      <selection activeCell="AE31" sqref="AE31"/>
    </sheetView>
  </sheetViews>
  <sheetFormatPr defaultRowHeight="14.5" x14ac:dyDescent="0.35"/>
  <cols>
    <col min="2" max="2" width="14" bestFit="1" customWidth="1"/>
    <col min="3" max="3" width="9.7265625" bestFit="1" customWidth="1"/>
    <col min="4" max="4" width="10.26953125" bestFit="1" customWidth="1"/>
    <col min="5" max="5" width="10.453125" bestFit="1" customWidth="1"/>
    <col min="8" max="8" width="14.36328125" bestFit="1" customWidth="1"/>
  </cols>
  <sheetData>
    <row r="2" spans="2:16" x14ac:dyDescent="0.35">
      <c r="B2" s="1" t="s">
        <v>1782</v>
      </c>
      <c r="C2" s="1"/>
      <c r="D2" s="1"/>
      <c r="E2" s="1"/>
      <c r="F2" s="1"/>
      <c r="G2" s="1"/>
      <c r="H2" s="1"/>
      <c r="I2" s="1"/>
      <c r="J2" s="1"/>
      <c r="K2" s="1"/>
      <c r="L2" s="1"/>
      <c r="M2" s="1"/>
      <c r="N2" s="1"/>
      <c r="O2" s="1"/>
      <c r="P2" s="1"/>
    </row>
    <row r="3" spans="2:16" x14ac:dyDescent="0.35">
      <c r="B3" s="1"/>
      <c r="C3" s="1"/>
      <c r="D3" s="1"/>
      <c r="E3" s="1"/>
      <c r="F3" s="1"/>
      <c r="G3" s="1"/>
      <c r="H3" s="1"/>
      <c r="I3" s="1"/>
      <c r="J3" s="1"/>
      <c r="K3" s="1"/>
      <c r="L3" s="1"/>
      <c r="M3" s="1"/>
      <c r="N3" s="1"/>
      <c r="O3" s="1"/>
      <c r="P3" s="1"/>
    </row>
    <row r="5" spans="2:16" x14ac:dyDescent="0.35">
      <c r="B5" t="s">
        <v>1783</v>
      </c>
      <c r="E5" t="s">
        <v>1784</v>
      </c>
      <c r="H5" t="s">
        <v>1785</v>
      </c>
    </row>
    <row r="6" spans="2:16" x14ac:dyDescent="0.35">
      <c r="B6">
        <f>GETPIVOTDATA("Total Sales", $B$9)</f>
        <v>131132.40999999997</v>
      </c>
      <c r="E6">
        <f>GETPIVOTDATA("Total Profit", $B$9)</f>
        <v>16312.749999999991</v>
      </c>
      <c r="H6">
        <f>E6/B6</f>
        <v>0.12439907113733359</v>
      </c>
    </row>
    <row r="9" spans="2:16" x14ac:dyDescent="0.35">
      <c r="B9" s="2" t="s">
        <v>1780</v>
      </c>
      <c r="C9" t="s">
        <v>0</v>
      </c>
      <c r="D9" t="s">
        <v>1</v>
      </c>
    </row>
    <row r="10" spans="2:16" x14ac:dyDescent="0.35">
      <c r="B10" s="3" t="s">
        <v>3</v>
      </c>
      <c r="C10" s="4">
        <v>33671.119999999988</v>
      </c>
      <c r="D10" s="4">
        <v>-2181.0699999999993</v>
      </c>
    </row>
    <row r="11" spans="2:16" x14ac:dyDescent="0.35">
      <c r="B11" s="3" t="s">
        <v>4</v>
      </c>
      <c r="C11" s="4">
        <v>54976.929999999986</v>
      </c>
      <c r="D11" s="4">
        <v>7648.3899999999931</v>
      </c>
    </row>
    <row r="12" spans="2:16" x14ac:dyDescent="0.35">
      <c r="B12" s="3" t="s">
        <v>5</v>
      </c>
      <c r="C12" s="4">
        <v>42484.360000000015</v>
      </c>
      <c r="D12" s="4">
        <v>10845.429999999997</v>
      </c>
    </row>
    <row r="13" spans="2:16" x14ac:dyDescent="0.35">
      <c r="B13" s="3" t="s">
        <v>1781</v>
      </c>
      <c r="C13" s="4">
        <v>131132.40999999997</v>
      </c>
      <c r="D13" s="4">
        <v>16312.749999999991</v>
      </c>
    </row>
  </sheetData>
  <mergeCells count="1">
    <mergeCell ref="B2:P3"/>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1501"/>
  <sheetViews>
    <sheetView workbookViewId="0">
      <selection activeCell="K9" sqref="K9"/>
    </sheetView>
  </sheetViews>
  <sheetFormatPr defaultRowHeight="14.5" x14ac:dyDescent="0.35"/>
  <cols>
    <col min="1" max="1" width="12" customWidth="1"/>
    <col min="2" max="2" width="13" customWidth="1"/>
    <col min="3" max="3" width="12" customWidth="1"/>
    <col min="4" max="4" width="14" customWidth="1"/>
    <col min="5" max="5" width="18" customWidth="1"/>
    <col min="6" max="6" width="15" customWidth="1"/>
    <col min="7" max="9" width="12" customWidth="1"/>
  </cols>
  <sheetData>
    <row r="1" spans="1:9" x14ac:dyDescent="0.35">
      <c r="A1" t="s">
        <v>6</v>
      </c>
      <c r="B1" t="s">
        <v>7</v>
      </c>
      <c r="C1" t="s">
        <v>8</v>
      </c>
      <c r="D1" t="s">
        <v>9</v>
      </c>
      <c r="E1" t="s">
        <v>2</v>
      </c>
      <c r="F1" t="s">
        <v>10</v>
      </c>
      <c r="G1" t="s">
        <v>11</v>
      </c>
      <c r="H1" t="s">
        <v>12</v>
      </c>
      <c r="I1" t="s">
        <v>13</v>
      </c>
    </row>
    <row r="2" spans="1:9" x14ac:dyDescent="0.35">
      <c r="A2" t="s">
        <v>14</v>
      </c>
      <c r="B2" t="s">
        <v>15</v>
      </c>
      <c r="C2" t="s">
        <v>16</v>
      </c>
      <c r="D2" t="s">
        <v>17</v>
      </c>
      <c r="E2" t="s">
        <v>3</v>
      </c>
      <c r="F2" t="s">
        <v>18</v>
      </c>
      <c r="G2">
        <v>746.81</v>
      </c>
      <c r="H2">
        <v>2</v>
      </c>
      <c r="I2">
        <v>-61.32</v>
      </c>
    </row>
    <row r="3" spans="1:9" x14ac:dyDescent="0.35">
      <c r="A3" t="s">
        <v>19</v>
      </c>
      <c r="B3" t="s">
        <v>15</v>
      </c>
      <c r="C3" t="s">
        <v>16</v>
      </c>
      <c r="D3" t="s">
        <v>17</v>
      </c>
      <c r="E3" t="s">
        <v>4</v>
      </c>
      <c r="F3" t="s">
        <v>20</v>
      </c>
      <c r="G3">
        <v>312.29000000000002</v>
      </c>
      <c r="H3">
        <v>6</v>
      </c>
      <c r="I3">
        <v>-2.67</v>
      </c>
    </row>
    <row r="4" spans="1:9" x14ac:dyDescent="0.35">
      <c r="A4" t="s">
        <v>21</v>
      </c>
      <c r="B4" t="s">
        <v>15</v>
      </c>
      <c r="C4" t="s">
        <v>22</v>
      </c>
      <c r="D4" t="s">
        <v>23</v>
      </c>
      <c r="E4" t="s">
        <v>4</v>
      </c>
      <c r="F4" t="s">
        <v>24</v>
      </c>
      <c r="G4">
        <v>35.369999999999997</v>
      </c>
      <c r="H4">
        <v>6</v>
      </c>
      <c r="I4">
        <v>9.34</v>
      </c>
    </row>
    <row r="5" spans="1:9" x14ac:dyDescent="0.35">
      <c r="A5" t="s">
        <v>25</v>
      </c>
      <c r="B5" t="s">
        <v>15</v>
      </c>
      <c r="C5" t="s">
        <v>26</v>
      </c>
      <c r="D5" t="s">
        <v>23</v>
      </c>
      <c r="E5" t="s">
        <v>3</v>
      </c>
      <c r="F5" t="s">
        <v>27</v>
      </c>
      <c r="G5">
        <v>203.82</v>
      </c>
      <c r="H5">
        <v>8</v>
      </c>
      <c r="I5">
        <v>-27.25</v>
      </c>
    </row>
    <row r="6" spans="1:9" x14ac:dyDescent="0.35">
      <c r="A6" t="s">
        <v>28</v>
      </c>
      <c r="B6" t="s">
        <v>15</v>
      </c>
      <c r="C6" t="s">
        <v>22</v>
      </c>
      <c r="D6" t="s">
        <v>23</v>
      </c>
      <c r="E6" t="s">
        <v>5</v>
      </c>
      <c r="F6" t="s">
        <v>29</v>
      </c>
      <c r="G6">
        <v>83.6</v>
      </c>
      <c r="H6">
        <v>2</v>
      </c>
      <c r="I6">
        <v>20.41</v>
      </c>
    </row>
    <row r="7" spans="1:9" x14ac:dyDescent="0.35">
      <c r="A7" t="s">
        <v>30</v>
      </c>
      <c r="B7" t="s">
        <v>15</v>
      </c>
      <c r="C7" t="s">
        <v>26</v>
      </c>
      <c r="D7" t="s">
        <v>17</v>
      </c>
      <c r="E7" t="s">
        <v>5</v>
      </c>
      <c r="F7" t="s">
        <v>31</v>
      </c>
      <c r="G7">
        <v>21.05</v>
      </c>
      <c r="H7">
        <v>9</v>
      </c>
      <c r="I7">
        <v>6.2</v>
      </c>
    </row>
    <row r="8" spans="1:9" x14ac:dyDescent="0.35">
      <c r="A8" t="s">
        <v>32</v>
      </c>
      <c r="B8" t="s">
        <v>33</v>
      </c>
      <c r="C8" t="s">
        <v>34</v>
      </c>
      <c r="D8" t="s">
        <v>17</v>
      </c>
      <c r="E8" t="s">
        <v>5</v>
      </c>
      <c r="F8" t="s">
        <v>31</v>
      </c>
      <c r="G8">
        <v>97.5</v>
      </c>
      <c r="H8">
        <v>2</v>
      </c>
      <c r="I8">
        <v>26.32</v>
      </c>
    </row>
    <row r="9" spans="1:9" x14ac:dyDescent="0.35">
      <c r="A9" t="s">
        <v>35</v>
      </c>
      <c r="B9" t="s">
        <v>33</v>
      </c>
      <c r="C9" t="s">
        <v>26</v>
      </c>
      <c r="D9" t="s">
        <v>23</v>
      </c>
      <c r="E9" t="s">
        <v>4</v>
      </c>
      <c r="F9" t="s">
        <v>20</v>
      </c>
      <c r="G9">
        <v>60.13</v>
      </c>
      <c r="H9">
        <v>1</v>
      </c>
      <c r="I9">
        <v>15.6</v>
      </c>
    </row>
    <row r="10" spans="1:9" x14ac:dyDescent="0.35">
      <c r="A10" t="s">
        <v>36</v>
      </c>
      <c r="B10" t="s">
        <v>33</v>
      </c>
      <c r="C10" t="s">
        <v>16</v>
      </c>
      <c r="D10" t="s">
        <v>23</v>
      </c>
      <c r="E10" t="s">
        <v>4</v>
      </c>
      <c r="F10" t="s">
        <v>24</v>
      </c>
      <c r="G10">
        <v>276.27999999999997</v>
      </c>
      <c r="H10">
        <v>2</v>
      </c>
      <c r="I10">
        <v>54.68</v>
      </c>
    </row>
    <row r="11" spans="1:9" x14ac:dyDescent="0.35">
      <c r="A11" t="s">
        <v>37</v>
      </c>
      <c r="B11" t="s">
        <v>33</v>
      </c>
      <c r="C11" t="s">
        <v>16</v>
      </c>
      <c r="D11" t="s">
        <v>38</v>
      </c>
      <c r="E11" t="s">
        <v>4</v>
      </c>
      <c r="F11" t="s">
        <v>39</v>
      </c>
      <c r="G11">
        <v>81.72</v>
      </c>
      <c r="H11">
        <v>7</v>
      </c>
      <c r="I11">
        <v>5.22</v>
      </c>
    </row>
    <row r="12" spans="1:9" x14ac:dyDescent="0.35">
      <c r="A12" t="s">
        <v>40</v>
      </c>
      <c r="B12" t="s">
        <v>33</v>
      </c>
      <c r="C12" t="s">
        <v>26</v>
      </c>
      <c r="D12" t="s">
        <v>38</v>
      </c>
      <c r="E12" t="s">
        <v>5</v>
      </c>
      <c r="F12" t="s">
        <v>41</v>
      </c>
      <c r="G12">
        <v>283.62</v>
      </c>
      <c r="H12">
        <v>8</v>
      </c>
      <c r="I12">
        <v>132.69</v>
      </c>
    </row>
    <row r="13" spans="1:9" x14ac:dyDescent="0.35">
      <c r="A13" t="s">
        <v>42</v>
      </c>
      <c r="B13" t="s">
        <v>33</v>
      </c>
      <c r="C13" t="s">
        <v>26</v>
      </c>
      <c r="D13" t="s">
        <v>38</v>
      </c>
      <c r="E13" t="s">
        <v>4</v>
      </c>
      <c r="F13" t="s">
        <v>39</v>
      </c>
      <c r="G13">
        <v>20.09</v>
      </c>
      <c r="H13">
        <v>5</v>
      </c>
      <c r="I13">
        <v>3.4</v>
      </c>
    </row>
    <row r="14" spans="1:9" x14ac:dyDescent="0.35">
      <c r="A14" t="s">
        <v>43</v>
      </c>
      <c r="B14" t="s">
        <v>44</v>
      </c>
      <c r="C14" t="s">
        <v>26</v>
      </c>
      <c r="D14" t="s">
        <v>17</v>
      </c>
      <c r="E14" t="s">
        <v>4</v>
      </c>
      <c r="F14" t="s">
        <v>39</v>
      </c>
      <c r="G14">
        <v>75.19</v>
      </c>
      <c r="H14">
        <v>6</v>
      </c>
      <c r="I14">
        <v>10.17</v>
      </c>
    </row>
    <row r="15" spans="1:9" x14ac:dyDescent="0.35">
      <c r="A15" t="s">
        <v>45</v>
      </c>
      <c r="B15" t="s">
        <v>44</v>
      </c>
      <c r="C15" t="s">
        <v>22</v>
      </c>
      <c r="D15" t="s">
        <v>17</v>
      </c>
      <c r="E15" t="s">
        <v>5</v>
      </c>
      <c r="F15" t="s">
        <v>29</v>
      </c>
      <c r="G15">
        <v>61.4</v>
      </c>
      <c r="H15">
        <v>1</v>
      </c>
      <c r="I15">
        <v>21.27</v>
      </c>
    </row>
    <row r="16" spans="1:9" x14ac:dyDescent="0.35">
      <c r="A16" t="s">
        <v>46</v>
      </c>
      <c r="B16" t="s">
        <v>44</v>
      </c>
      <c r="C16" t="s">
        <v>26</v>
      </c>
      <c r="D16" t="s">
        <v>23</v>
      </c>
      <c r="E16" t="s">
        <v>5</v>
      </c>
      <c r="F16" t="s">
        <v>29</v>
      </c>
      <c r="G16">
        <v>59.9</v>
      </c>
      <c r="H16">
        <v>6</v>
      </c>
      <c r="I16">
        <v>16.47</v>
      </c>
    </row>
    <row r="17" spans="1:9" x14ac:dyDescent="0.35">
      <c r="A17" t="s">
        <v>47</v>
      </c>
      <c r="B17" t="s">
        <v>44</v>
      </c>
      <c r="C17" t="s">
        <v>34</v>
      </c>
      <c r="D17" t="s">
        <v>17</v>
      </c>
      <c r="E17" t="s">
        <v>5</v>
      </c>
      <c r="F17" t="s">
        <v>29</v>
      </c>
      <c r="G17">
        <v>30.59</v>
      </c>
      <c r="H17">
        <v>8</v>
      </c>
      <c r="I17">
        <v>8.8699999999999992</v>
      </c>
    </row>
    <row r="18" spans="1:9" x14ac:dyDescent="0.35">
      <c r="A18" t="s">
        <v>48</v>
      </c>
      <c r="B18" t="s">
        <v>44</v>
      </c>
      <c r="C18" t="s">
        <v>22</v>
      </c>
      <c r="D18" t="s">
        <v>17</v>
      </c>
      <c r="E18" t="s">
        <v>3</v>
      </c>
      <c r="F18" t="s">
        <v>49</v>
      </c>
      <c r="G18">
        <v>51.08</v>
      </c>
      <c r="H18">
        <v>3</v>
      </c>
      <c r="I18">
        <v>10.18</v>
      </c>
    </row>
    <row r="19" spans="1:9" x14ac:dyDescent="0.35">
      <c r="A19" t="s">
        <v>50</v>
      </c>
      <c r="B19" t="s">
        <v>44</v>
      </c>
      <c r="C19" t="s">
        <v>22</v>
      </c>
      <c r="D19" t="s">
        <v>38</v>
      </c>
      <c r="E19" t="s">
        <v>3</v>
      </c>
      <c r="F19" t="s">
        <v>49</v>
      </c>
      <c r="G19">
        <v>141.63999999999999</v>
      </c>
      <c r="H19">
        <v>1</v>
      </c>
      <c r="I19">
        <v>-10.98</v>
      </c>
    </row>
    <row r="20" spans="1:9" x14ac:dyDescent="0.35">
      <c r="A20" t="s">
        <v>51</v>
      </c>
      <c r="B20" t="s">
        <v>52</v>
      </c>
      <c r="C20" t="s">
        <v>26</v>
      </c>
      <c r="D20" t="s">
        <v>38</v>
      </c>
      <c r="E20" t="s">
        <v>3</v>
      </c>
      <c r="F20" t="s">
        <v>27</v>
      </c>
      <c r="G20">
        <v>71.66</v>
      </c>
      <c r="H20">
        <v>4</v>
      </c>
      <c r="I20">
        <v>-5.86</v>
      </c>
    </row>
    <row r="21" spans="1:9" x14ac:dyDescent="0.35">
      <c r="A21" t="s">
        <v>53</v>
      </c>
      <c r="B21" t="s">
        <v>52</v>
      </c>
      <c r="C21" t="s">
        <v>34</v>
      </c>
      <c r="D21" t="s">
        <v>17</v>
      </c>
      <c r="E21" t="s">
        <v>5</v>
      </c>
      <c r="F21" t="s">
        <v>31</v>
      </c>
      <c r="G21">
        <v>101.04</v>
      </c>
      <c r="H21">
        <v>1</v>
      </c>
      <c r="I21">
        <v>26.44</v>
      </c>
    </row>
    <row r="22" spans="1:9" x14ac:dyDescent="0.35">
      <c r="A22" t="s">
        <v>54</v>
      </c>
      <c r="B22" t="s">
        <v>52</v>
      </c>
      <c r="C22" t="s">
        <v>22</v>
      </c>
      <c r="D22" t="s">
        <v>17</v>
      </c>
      <c r="E22" t="s">
        <v>4</v>
      </c>
      <c r="F22" t="s">
        <v>39</v>
      </c>
      <c r="G22">
        <v>90.95</v>
      </c>
      <c r="H22">
        <v>8</v>
      </c>
      <c r="I22">
        <v>23.39</v>
      </c>
    </row>
    <row r="23" spans="1:9" x14ac:dyDescent="0.35">
      <c r="A23" t="s">
        <v>55</v>
      </c>
      <c r="B23" t="s">
        <v>52</v>
      </c>
      <c r="C23" t="s">
        <v>16</v>
      </c>
      <c r="D23" t="s">
        <v>17</v>
      </c>
      <c r="E23" t="s">
        <v>5</v>
      </c>
      <c r="F23" t="s">
        <v>41</v>
      </c>
      <c r="G23">
        <v>333.01</v>
      </c>
      <c r="H23">
        <v>5</v>
      </c>
      <c r="I23">
        <v>33.08</v>
      </c>
    </row>
    <row r="24" spans="1:9" x14ac:dyDescent="0.35">
      <c r="A24" t="s">
        <v>56</v>
      </c>
      <c r="B24" t="s">
        <v>52</v>
      </c>
      <c r="C24" t="s">
        <v>22</v>
      </c>
      <c r="D24" t="s">
        <v>38</v>
      </c>
      <c r="E24" t="s">
        <v>5</v>
      </c>
      <c r="F24" t="s">
        <v>41</v>
      </c>
      <c r="G24">
        <v>373.55</v>
      </c>
      <c r="H24">
        <v>1</v>
      </c>
      <c r="I24">
        <v>19.96</v>
      </c>
    </row>
    <row r="25" spans="1:9" x14ac:dyDescent="0.35">
      <c r="A25" t="s">
        <v>57</v>
      </c>
      <c r="B25" t="s">
        <v>52</v>
      </c>
      <c r="C25" t="s">
        <v>26</v>
      </c>
      <c r="D25" t="s">
        <v>38</v>
      </c>
      <c r="E25" t="s">
        <v>3</v>
      </c>
      <c r="F25" t="s">
        <v>49</v>
      </c>
      <c r="G25">
        <v>121.87</v>
      </c>
      <c r="H25">
        <v>8</v>
      </c>
      <c r="I25">
        <v>-13.25</v>
      </c>
    </row>
    <row r="26" spans="1:9" x14ac:dyDescent="0.35">
      <c r="A26" t="s">
        <v>58</v>
      </c>
      <c r="B26" t="s">
        <v>59</v>
      </c>
      <c r="C26" t="s">
        <v>34</v>
      </c>
      <c r="D26" t="s">
        <v>17</v>
      </c>
      <c r="E26" t="s">
        <v>3</v>
      </c>
      <c r="F26" t="s">
        <v>27</v>
      </c>
      <c r="G26">
        <v>80.11</v>
      </c>
      <c r="H26">
        <v>9</v>
      </c>
      <c r="I26">
        <v>-17.09</v>
      </c>
    </row>
    <row r="27" spans="1:9" x14ac:dyDescent="0.35">
      <c r="A27" t="s">
        <v>60</v>
      </c>
      <c r="B27" t="s">
        <v>59</v>
      </c>
      <c r="C27" t="s">
        <v>26</v>
      </c>
      <c r="D27" t="s">
        <v>17</v>
      </c>
      <c r="E27" t="s">
        <v>4</v>
      </c>
      <c r="F27" t="s">
        <v>39</v>
      </c>
      <c r="G27">
        <v>36.94</v>
      </c>
      <c r="H27">
        <v>2</v>
      </c>
      <c r="I27">
        <v>3.97</v>
      </c>
    </row>
    <row r="28" spans="1:9" x14ac:dyDescent="0.35">
      <c r="A28" t="s">
        <v>61</v>
      </c>
      <c r="B28" t="s">
        <v>59</v>
      </c>
      <c r="C28" t="s">
        <v>16</v>
      </c>
      <c r="D28" t="s">
        <v>38</v>
      </c>
      <c r="E28" t="s">
        <v>5</v>
      </c>
      <c r="F28" t="s">
        <v>31</v>
      </c>
      <c r="G28">
        <v>479.93</v>
      </c>
      <c r="H28">
        <v>9</v>
      </c>
      <c r="I28">
        <v>144.1</v>
      </c>
    </row>
    <row r="29" spans="1:9" x14ac:dyDescent="0.35">
      <c r="A29" t="s">
        <v>62</v>
      </c>
      <c r="B29" t="s">
        <v>59</v>
      </c>
      <c r="C29" t="s">
        <v>16</v>
      </c>
      <c r="D29" t="s">
        <v>17</v>
      </c>
      <c r="E29" t="s">
        <v>3</v>
      </c>
      <c r="F29" t="s">
        <v>49</v>
      </c>
      <c r="G29">
        <v>29.32</v>
      </c>
      <c r="H29">
        <v>8</v>
      </c>
      <c r="I29">
        <v>-4.08</v>
      </c>
    </row>
    <row r="30" spans="1:9" x14ac:dyDescent="0.35">
      <c r="A30" t="s">
        <v>63</v>
      </c>
      <c r="B30" t="s">
        <v>59</v>
      </c>
      <c r="C30" t="s">
        <v>16</v>
      </c>
      <c r="D30" t="s">
        <v>23</v>
      </c>
      <c r="E30" t="s">
        <v>3</v>
      </c>
      <c r="F30" t="s">
        <v>49</v>
      </c>
      <c r="G30">
        <v>73</v>
      </c>
      <c r="H30">
        <v>7</v>
      </c>
      <c r="I30">
        <v>-14.07</v>
      </c>
    </row>
    <row r="31" spans="1:9" x14ac:dyDescent="0.35">
      <c r="A31" t="s">
        <v>64</v>
      </c>
      <c r="B31" t="s">
        <v>59</v>
      </c>
      <c r="C31" t="s">
        <v>26</v>
      </c>
      <c r="D31" t="s">
        <v>38</v>
      </c>
      <c r="E31" t="s">
        <v>5</v>
      </c>
      <c r="F31" t="s">
        <v>41</v>
      </c>
      <c r="G31">
        <v>73.09</v>
      </c>
      <c r="H31">
        <v>3</v>
      </c>
      <c r="I31">
        <v>18.78</v>
      </c>
    </row>
    <row r="32" spans="1:9" x14ac:dyDescent="0.35">
      <c r="A32" t="s">
        <v>65</v>
      </c>
      <c r="B32" t="s">
        <v>66</v>
      </c>
      <c r="C32" t="s">
        <v>22</v>
      </c>
      <c r="D32" t="s">
        <v>17</v>
      </c>
      <c r="E32" t="s">
        <v>4</v>
      </c>
      <c r="F32" t="s">
        <v>24</v>
      </c>
      <c r="G32">
        <v>77.94</v>
      </c>
      <c r="H32">
        <v>2</v>
      </c>
      <c r="I32">
        <v>18.41</v>
      </c>
    </row>
    <row r="33" spans="1:9" x14ac:dyDescent="0.35">
      <c r="A33" t="s">
        <v>67</v>
      </c>
      <c r="B33" t="s">
        <v>66</v>
      </c>
      <c r="C33" t="s">
        <v>26</v>
      </c>
      <c r="D33" t="s">
        <v>23</v>
      </c>
      <c r="E33" t="s">
        <v>5</v>
      </c>
      <c r="F33" t="s">
        <v>31</v>
      </c>
      <c r="G33">
        <v>46.92</v>
      </c>
      <c r="H33">
        <v>7</v>
      </c>
      <c r="I33">
        <v>3.78</v>
      </c>
    </row>
    <row r="34" spans="1:9" x14ac:dyDescent="0.35">
      <c r="A34" t="s">
        <v>68</v>
      </c>
      <c r="B34" t="s">
        <v>66</v>
      </c>
      <c r="C34" t="s">
        <v>34</v>
      </c>
      <c r="D34" t="s">
        <v>17</v>
      </c>
      <c r="E34" t="s">
        <v>5</v>
      </c>
      <c r="F34" t="s">
        <v>29</v>
      </c>
      <c r="G34">
        <v>249.29</v>
      </c>
      <c r="H34">
        <v>5</v>
      </c>
      <c r="I34">
        <v>82.77</v>
      </c>
    </row>
    <row r="35" spans="1:9" x14ac:dyDescent="0.35">
      <c r="A35" t="s">
        <v>69</v>
      </c>
      <c r="B35" t="s">
        <v>66</v>
      </c>
      <c r="C35" t="s">
        <v>22</v>
      </c>
      <c r="D35" t="s">
        <v>17</v>
      </c>
      <c r="E35" t="s">
        <v>4</v>
      </c>
      <c r="F35" t="s">
        <v>39</v>
      </c>
      <c r="G35">
        <v>39.6</v>
      </c>
      <c r="H35">
        <v>6</v>
      </c>
      <c r="I35">
        <v>9.18</v>
      </c>
    </row>
    <row r="36" spans="1:9" x14ac:dyDescent="0.35">
      <c r="A36" t="s">
        <v>70</v>
      </c>
      <c r="B36" t="s">
        <v>66</v>
      </c>
      <c r="C36" t="s">
        <v>16</v>
      </c>
      <c r="D36" t="s">
        <v>38</v>
      </c>
      <c r="E36" t="s">
        <v>4</v>
      </c>
      <c r="F36" t="s">
        <v>20</v>
      </c>
      <c r="G36">
        <v>171.14</v>
      </c>
      <c r="H36">
        <v>4</v>
      </c>
      <c r="I36">
        <v>42</v>
      </c>
    </row>
    <row r="37" spans="1:9" x14ac:dyDescent="0.35">
      <c r="A37" t="s">
        <v>71</v>
      </c>
      <c r="B37" t="s">
        <v>66</v>
      </c>
      <c r="C37" t="s">
        <v>26</v>
      </c>
      <c r="D37" t="s">
        <v>17</v>
      </c>
      <c r="E37" t="s">
        <v>4</v>
      </c>
      <c r="F37" t="s">
        <v>20</v>
      </c>
      <c r="G37">
        <v>39.83</v>
      </c>
      <c r="H37">
        <v>2</v>
      </c>
      <c r="I37">
        <v>10.83</v>
      </c>
    </row>
    <row r="38" spans="1:9" x14ac:dyDescent="0.35">
      <c r="A38" t="s">
        <v>72</v>
      </c>
      <c r="B38" t="s">
        <v>73</v>
      </c>
      <c r="C38" t="s">
        <v>16</v>
      </c>
      <c r="D38" t="s">
        <v>38</v>
      </c>
      <c r="E38" t="s">
        <v>3</v>
      </c>
      <c r="F38" t="s">
        <v>27</v>
      </c>
      <c r="G38">
        <v>30.97</v>
      </c>
      <c r="H38">
        <v>9</v>
      </c>
      <c r="I38">
        <v>5.27</v>
      </c>
    </row>
    <row r="39" spans="1:9" x14ac:dyDescent="0.35">
      <c r="A39" t="s">
        <v>74</v>
      </c>
      <c r="B39" t="s">
        <v>73</v>
      </c>
      <c r="C39" t="s">
        <v>16</v>
      </c>
      <c r="D39" t="s">
        <v>23</v>
      </c>
      <c r="E39" t="s">
        <v>5</v>
      </c>
      <c r="F39" t="s">
        <v>31</v>
      </c>
      <c r="G39">
        <v>380.24</v>
      </c>
      <c r="H39">
        <v>3</v>
      </c>
      <c r="I39">
        <v>81.52</v>
      </c>
    </row>
    <row r="40" spans="1:9" x14ac:dyDescent="0.35">
      <c r="A40" t="s">
        <v>75</v>
      </c>
      <c r="B40" t="s">
        <v>73</v>
      </c>
      <c r="C40" t="s">
        <v>34</v>
      </c>
      <c r="D40" t="s">
        <v>17</v>
      </c>
      <c r="E40" t="s">
        <v>4</v>
      </c>
      <c r="F40" t="s">
        <v>20</v>
      </c>
      <c r="G40">
        <v>51.63</v>
      </c>
      <c r="H40">
        <v>7</v>
      </c>
      <c r="I40">
        <v>8.31</v>
      </c>
    </row>
    <row r="41" spans="1:9" x14ac:dyDescent="0.35">
      <c r="A41" t="s">
        <v>76</v>
      </c>
      <c r="B41" t="s">
        <v>73</v>
      </c>
      <c r="C41" t="s">
        <v>22</v>
      </c>
      <c r="D41" t="s">
        <v>17</v>
      </c>
      <c r="E41" t="s">
        <v>3</v>
      </c>
      <c r="F41" t="s">
        <v>49</v>
      </c>
      <c r="G41">
        <v>278.27</v>
      </c>
      <c r="H41">
        <v>8</v>
      </c>
      <c r="I41">
        <v>-25.5</v>
      </c>
    </row>
    <row r="42" spans="1:9" x14ac:dyDescent="0.35">
      <c r="A42" t="s">
        <v>77</v>
      </c>
      <c r="B42" t="s">
        <v>73</v>
      </c>
      <c r="C42" t="s">
        <v>34</v>
      </c>
      <c r="D42" t="s">
        <v>17</v>
      </c>
      <c r="E42" t="s">
        <v>5</v>
      </c>
      <c r="F42" t="s">
        <v>31</v>
      </c>
      <c r="G42">
        <v>138</v>
      </c>
      <c r="H42">
        <v>2</v>
      </c>
      <c r="I42">
        <v>34.53</v>
      </c>
    </row>
    <row r="43" spans="1:9" x14ac:dyDescent="0.35">
      <c r="A43" t="s">
        <v>78</v>
      </c>
      <c r="B43" t="s">
        <v>73</v>
      </c>
      <c r="C43" t="s">
        <v>34</v>
      </c>
      <c r="D43" t="s">
        <v>17</v>
      </c>
      <c r="E43" t="s">
        <v>3</v>
      </c>
      <c r="F43" t="s">
        <v>49</v>
      </c>
      <c r="G43">
        <v>32.159999999999997</v>
      </c>
      <c r="H43">
        <v>6</v>
      </c>
      <c r="I43">
        <v>3.32</v>
      </c>
    </row>
    <row r="44" spans="1:9" x14ac:dyDescent="0.35">
      <c r="A44" t="s">
        <v>79</v>
      </c>
      <c r="B44" t="s">
        <v>80</v>
      </c>
      <c r="C44" t="s">
        <v>34</v>
      </c>
      <c r="D44" t="s">
        <v>17</v>
      </c>
      <c r="E44" t="s">
        <v>5</v>
      </c>
      <c r="F44" t="s">
        <v>41</v>
      </c>
      <c r="G44">
        <v>486.67</v>
      </c>
      <c r="H44">
        <v>8</v>
      </c>
      <c r="I44">
        <v>56.21</v>
      </c>
    </row>
    <row r="45" spans="1:9" x14ac:dyDescent="0.35">
      <c r="A45" t="s">
        <v>81</v>
      </c>
      <c r="B45" t="s">
        <v>80</v>
      </c>
      <c r="C45" t="s">
        <v>16</v>
      </c>
      <c r="D45" t="s">
        <v>17</v>
      </c>
      <c r="E45" t="s">
        <v>4</v>
      </c>
      <c r="F45" t="s">
        <v>20</v>
      </c>
      <c r="G45">
        <v>62.55</v>
      </c>
      <c r="H45">
        <v>7</v>
      </c>
      <c r="I45">
        <v>4</v>
      </c>
    </row>
    <row r="46" spans="1:9" x14ac:dyDescent="0.35">
      <c r="A46" t="s">
        <v>82</v>
      </c>
      <c r="B46" t="s">
        <v>80</v>
      </c>
      <c r="C46" t="s">
        <v>34</v>
      </c>
      <c r="D46" t="s">
        <v>17</v>
      </c>
      <c r="E46" t="s">
        <v>5</v>
      </c>
      <c r="F46" t="s">
        <v>29</v>
      </c>
      <c r="G46">
        <v>314.54000000000002</v>
      </c>
      <c r="H46">
        <v>3</v>
      </c>
      <c r="I46">
        <v>121.95</v>
      </c>
    </row>
    <row r="47" spans="1:9" x14ac:dyDescent="0.35">
      <c r="A47" t="s">
        <v>83</v>
      </c>
      <c r="B47" t="s">
        <v>80</v>
      </c>
      <c r="C47" t="s">
        <v>34</v>
      </c>
      <c r="D47" t="s">
        <v>23</v>
      </c>
      <c r="E47" t="s">
        <v>4</v>
      </c>
      <c r="F47" t="s">
        <v>20</v>
      </c>
      <c r="G47">
        <v>47.73</v>
      </c>
      <c r="H47">
        <v>1</v>
      </c>
      <c r="I47">
        <v>12.03</v>
      </c>
    </row>
    <row r="48" spans="1:9" x14ac:dyDescent="0.35">
      <c r="A48" t="s">
        <v>84</v>
      </c>
      <c r="B48" t="s">
        <v>80</v>
      </c>
      <c r="C48" t="s">
        <v>22</v>
      </c>
      <c r="D48" t="s">
        <v>23</v>
      </c>
      <c r="E48" t="s">
        <v>3</v>
      </c>
      <c r="F48" t="s">
        <v>18</v>
      </c>
      <c r="G48">
        <v>308.56</v>
      </c>
      <c r="H48">
        <v>6</v>
      </c>
      <c r="I48">
        <v>-26.63</v>
      </c>
    </row>
    <row r="49" spans="1:9" x14ac:dyDescent="0.35">
      <c r="A49" t="s">
        <v>85</v>
      </c>
      <c r="B49" t="s">
        <v>80</v>
      </c>
      <c r="C49" t="s">
        <v>22</v>
      </c>
      <c r="D49" t="s">
        <v>23</v>
      </c>
      <c r="E49" t="s">
        <v>3</v>
      </c>
      <c r="F49" t="s">
        <v>27</v>
      </c>
      <c r="G49">
        <v>22</v>
      </c>
      <c r="H49">
        <v>8</v>
      </c>
      <c r="I49">
        <v>0.78</v>
      </c>
    </row>
    <row r="50" spans="1:9" x14ac:dyDescent="0.35">
      <c r="A50" t="s">
        <v>86</v>
      </c>
      <c r="B50" t="s">
        <v>87</v>
      </c>
      <c r="C50" t="s">
        <v>34</v>
      </c>
      <c r="D50" t="s">
        <v>17</v>
      </c>
      <c r="E50" t="s">
        <v>3</v>
      </c>
      <c r="F50" t="s">
        <v>27</v>
      </c>
      <c r="G50">
        <v>127.55</v>
      </c>
      <c r="H50">
        <v>6</v>
      </c>
      <c r="I50">
        <v>-2.0299999999999998</v>
      </c>
    </row>
    <row r="51" spans="1:9" x14ac:dyDescent="0.35">
      <c r="A51" t="s">
        <v>88</v>
      </c>
      <c r="B51" t="s">
        <v>87</v>
      </c>
      <c r="C51" t="s">
        <v>22</v>
      </c>
      <c r="D51" t="s">
        <v>17</v>
      </c>
      <c r="E51" t="s">
        <v>5</v>
      </c>
      <c r="F51" t="s">
        <v>29</v>
      </c>
      <c r="G51">
        <v>240.09</v>
      </c>
      <c r="H51">
        <v>5</v>
      </c>
      <c r="I51">
        <v>96.04</v>
      </c>
    </row>
    <row r="52" spans="1:9" x14ac:dyDescent="0.35">
      <c r="A52" t="s">
        <v>89</v>
      </c>
      <c r="B52" t="s">
        <v>87</v>
      </c>
      <c r="C52" t="s">
        <v>22</v>
      </c>
      <c r="D52" t="s">
        <v>23</v>
      </c>
      <c r="E52" t="s">
        <v>4</v>
      </c>
      <c r="F52" t="s">
        <v>24</v>
      </c>
      <c r="G52">
        <v>429.53</v>
      </c>
      <c r="H52">
        <v>8</v>
      </c>
      <c r="I52">
        <v>67.63</v>
      </c>
    </row>
    <row r="53" spans="1:9" x14ac:dyDescent="0.35">
      <c r="A53" t="s">
        <v>90</v>
      </c>
      <c r="B53" t="s">
        <v>87</v>
      </c>
      <c r="C53" t="s">
        <v>34</v>
      </c>
      <c r="D53" t="s">
        <v>17</v>
      </c>
      <c r="E53" t="s">
        <v>4</v>
      </c>
      <c r="F53" t="s">
        <v>20</v>
      </c>
      <c r="G53">
        <v>379.87</v>
      </c>
      <c r="H53">
        <v>2</v>
      </c>
      <c r="I53">
        <v>95.94</v>
      </c>
    </row>
    <row r="54" spans="1:9" x14ac:dyDescent="0.35">
      <c r="A54" t="s">
        <v>91</v>
      </c>
      <c r="B54" t="s">
        <v>87</v>
      </c>
      <c r="C54" t="s">
        <v>16</v>
      </c>
      <c r="D54" t="s">
        <v>17</v>
      </c>
      <c r="E54" t="s">
        <v>4</v>
      </c>
      <c r="F54" t="s">
        <v>39</v>
      </c>
      <c r="G54">
        <v>276.91000000000003</v>
      </c>
      <c r="H54">
        <v>1</v>
      </c>
      <c r="I54">
        <v>114.7</v>
      </c>
    </row>
    <row r="55" spans="1:9" x14ac:dyDescent="0.35">
      <c r="A55" t="s">
        <v>92</v>
      </c>
      <c r="B55" t="s">
        <v>87</v>
      </c>
      <c r="C55" t="s">
        <v>34</v>
      </c>
      <c r="D55" t="s">
        <v>38</v>
      </c>
      <c r="E55" t="s">
        <v>4</v>
      </c>
      <c r="F55" t="s">
        <v>39</v>
      </c>
      <c r="G55">
        <v>348.64</v>
      </c>
      <c r="H55">
        <v>1</v>
      </c>
      <c r="I55">
        <v>73.150000000000006</v>
      </c>
    </row>
    <row r="56" spans="1:9" x14ac:dyDescent="0.35">
      <c r="A56" t="s">
        <v>93</v>
      </c>
      <c r="B56" t="s">
        <v>94</v>
      </c>
      <c r="C56" t="s">
        <v>22</v>
      </c>
      <c r="D56" t="s">
        <v>23</v>
      </c>
      <c r="E56" t="s">
        <v>3</v>
      </c>
      <c r="F56" t="s">
        <v>49</v>
      </c>
      <c r="G56">
        <v>53.33</v>
      </c>
      <c r="H56">
        <v>4</v>
      </c>
      <c r="I56">
        <v>-2.4</v>
      </c>
    </row>
    <row r="57" spans="1:9" x14ac:dyDescent="0.35">
      <c r="A57" t="s">
        <v>95</v>
      </c>
      <c r="B57" t="s">
        <v>94</v>
      </c>
      <c r="C57" t="s">
        <v>16</v>
      </c>
      <c r="D57" t="s">
        <v>23</v>
      </c>
      <c r="E57" t="s">
        <v>4</v>
      </c>
      <c r="F57" t="s">
        <v>20</v>
      </c>
      <c r="G57">
        <v>70.150000000000006</v>
      </c>
      <c r="H57">
        <v>6</v>
      </c>
      <c r="I57">
        <v>15.59</v>
      </c>
    </row>
    <row r="58" spans="1:9" x14ac:dyDescent="0.35">
      <c r="A58" t="s">
        <v>96</v>
      </c>
      <c r="B58" t="s">
        <v>94</v>
      </c>
      <c r="C58" t="s">
        <v>26</v>
      </c>
      <c r="D58" t="s">
        <v>17</v>
      </c>
      <c r="E58" t="s">
        <v>5</v>
      </c>
      <c r="F58" t="s">
        <v>41</v>
      </c>
      <c r="G58">
        <v>71.16</v>
      </c>
      <c r="H58">
        <v>9</v>
      </c>
      <c r="I58">
        <v>15.19</v>
      </c>
    </row>
    <row r="59" spans="1:9" x14ac:dyDescent="0.35">
      <c r="A59" t="s">
        <v>97</v>
      </c>
      <c r="B59" t="s">
        <v>94</v>
      </c>
      <c r="C59" t="s">
        <v>16</v>
      </c>
      <c r="D59" t="s">
        <v>23</v>
      </c>
      <c r="E59" t="s">
        <v>5</v>
      </c>
      <c r="F59" t="s">
        <v>31</v>
      </c>
      <c r="G59">
        <v>90.99</v>
      </c>
      <c r="H59">
        <v>1</v>
      </c>
      <c r="I59">
        <v>44.48</v>
      </c>
    </row>
    <row r="60" spans="1:9" x14ac:dyDescent="0.35">
      <c r="A60" t="s">
        <v>98</v>
      </c>
      <c r="B60" t="s">
        <v>94</v>
      </c>
      <c r="C60" t="s">
        <v>22</v>
      </c>
      <c r="D60" t="s">
        <v>23</v>
      </c>
      <c r="E60" t="s">
        <v>5</v>
      </c>
      <c r="F60" t="s">
        <v>41</v>
      </c>
      <c r="G60">
        <v>94.96</v>
      </c>
      <c r="H60">
        <v>1</v>
      </c>
      <c r="I60">
        <v>25.45</v>
      </c>
    </row>
    <row r="61" spans="1:9" x14ac:dyDescent="0.35">
      <c r="A61" t="s">
        <v>99</v>
      </c>
      <c r="B61" t="s">
        <v>94</v>
      </c>
      <c r="C61" t="s">
        <v>16</v>
      </c>
      <c r="D61" t="s">
        <v>23</v>
      </c>
      <c r="E61" t="s">
        <v>3</v>
      </c>
      <c r="F61" t="s">
        <v>49</v>
      </c>
      <c r="G61">
        <v>137.97</v>
      </c>
      <c r="H61">
        <v>5</v>
      </c>
      <c r="I61">
        <v>-10.66</v>
      </c>
    </row>
    <row r="62" spans="1:9" x14ac:dyDescent="0.35">
      <c r="A62" t="s">
        <v>100</v>
      </c>
      <c r="B62" t="s">
        <v>101</v>
      </c>
      <c r="C62" t="s">
        <v>34</v>
      </c>
      <c r="D62" t="s">
        <v>23</v>
      </c>
      <c r="E62" t="s">
        <v>3</v>
      </c>
      <c r="F62" t="s">
        <v>49</v>
      </c>
      <c r="G62">
        <v>46.13</v>
      </c>
      <c r="H62">
        <v>5</v>
      </c>
      <c r="I62">
        <v>-6.16</v>
      </c>
    </row>
    <row r="63" spans="1:9" x14ac:dyDescent="0.35">
      <c r="A63" t="s">
        <v>102</v>
      </c>
      <c r="B63" t="s">
        <v>101</v>
      </c>
      <c r="C63" t="s">
        <v>26</v>
      </c>
      <c r="D63" t="s">
        <v>38</v>
      </c>
      <c r="E63" t="s">
        <v>5</v>
      </c>
      <c r="F63" t="s">
        <v>31</v>
      </c>
      <c r="G63">
        <v>196.28</v>
      </c>
      <c r="H63">
        <v>5</v>
      </c>
      <c r="I63">
        <v>70.61</v>
      </c>
    </row>
    <row r="64" spans="1:9" x14ac:dyDescent="0.35">
      <c r="A64" t="s">
        <v>103</v>
      </c>
      <c r="B64" t="s">
        <v>101</v>
      </c>
      <c r="C64" t="s">
        <v>26</v>
      </c>
      <c r="D64" t="s">
        <v>23</v>
      </c>
      <c r="E64" t="s">
        <v>4</v>
      </c>
      <c r="F64" t="s">
        <v>20</v>
      </c>
      <c r="G64">
        <v>47.51</v>
      </c>
      <c r="H64">
        <v>6</v>
      </c>
      <c r="I64">
        <v>11.25</v>
      </c>
    </row>
    <row r="65" spans="1:9" x14ac:dyDescent="0.35">
      <c r="A65" t="s">
        <v>104</v>
      </c>
      <c r="B65" t="s">
        <v>101</v>
      </c>
      <c r="C65" t="s">
        <v>26</v>
      </c>
      <c r="D65" t="s">
        <v>17</v>
      </c>
      <c r="E65" t="s">
        <v>3</v>
      </c>
      <c r="F65" t="s">
        <v>27</v>
      </c>
      <c r="G65">
        <v>75.73</v>
      </c>
      <c r="H65">
        <v>8</v>
      </c>
      <c r="I65">
        <v>-7.55</v>
      </c>
    </row>
    <row r="66" spans="1:9" x14ac:dyDescent="0.35">
      <c r="A66" t="s">
        <v>105</v>
      </c>
      <c r="B66" t="s">
        <v>101</v>
      </c>
      <c r="C66" t="s">
        <v>22</v>
      </c>
      <c r="D66" t="s">
        <v>23</v>
      </c>
      <c r="E66" t="s">
        <v>5</v>
      </c>
      <c r="F66" t="s">
        <v>29</v>
      </c>
      <c r="G66">
        <v>124.98</v>
      </c>
      <c r="H66">
        <v>3</v>
      </c>
      <c r="I66">
        <v>38.450000000000003</v>
      </c>
    </row>
    <row r="67" spans="1:9" x14ac:dyDescent="0.35">
      <c r="A67" t="s">
        <v>106</v>
      </c>
      <c r="B67" t="s">
        <v>101</v>
      </c>
      <c r="C67" t="s">
        <v>22</v>
      </c>
      <c r="D67" t="s">
        <v>23</v>
      </c>
      <c r="E67" t="s">
        <v>3</v>
      </c>
      <c r="F67" t="s">
        <v>18</v>
      </c>
      <c r="G67">
        <v>258.77</v>
      </c>
      <c r="H67">
        <v>9</v>
      </c>
      <c r="I67">
        <v>-51.98</v>
      </c>
    </row>
    <row r="68" spans="1:9" x14ac:dyDescent="0.35">
      <c r="A68" t="s">
        <v>107</v>
      </c>
      <c r="B68" t="s">
        <v>108</v>
      </c>
      <c r="C68" t="s">
        <v>26</v>
      </c>
      <c r="D68" t="s">
        <v>23</v>
      </c>
      <c r="E68" t="s">
        <v>5</v>
      </c>
      <c r="F68" t="s">
        <v>41</v>
      </c>
      <c r="G68">
        <v>221.76</v>
      </c>
      <c r="H68">
        <v>1</v>
      </c>
      <c r="I68">
        <v>59.54</v>
      </c>
    </row>
    <row r="69" spans="1:9" x14ac:dyDescent="0.35">
      <c r="A69" t="s">
        <v>109</v>
      </c>
      <c r="B69" t="s">
        <v>108</v>
      </c>
      <c r="C69" t="s">
        <v>16</v>
      </c>
      <c r="D69" t="s">
        <v>17</v>
      </c>
      <c r="E69" t="s">
        <v>4</v>
      </c>
      <c r="F69" t="s">
        <v>20</v>
      </c>
      <c r="G69">
        <v>175.57</v>
      </c>
      <c r="H69">
        <v>4</v>
      </c>
      <c r="I69">
        <v>34.28</v>
      </c>
    </row>
    <row r="70" spans="1:9" x14ac:dyDescent="0.35">
      <c r="A70" t="s">
        <v>110</v>
      </c>
      <c r="B70" t="s">
        <v>108</v>
      </c>
      <c r="C70" t="s">
        <v>26</v>
      </c>
      <c r="D70" t="s">
        <v>17</v>
      </c>
      <c r="E70" t="s">
        <v>5</v>
      </c>
      <c r="F70" t="s">
        <v>31</v>
      </c>
      <c r="G70">
        <v>45.4</v>
      </c>
      <c r="H70">
        <v>9</v>
      </c>
      <c r="I70">
        <v>19.100000000000001</v>
      </c>
    </row>
    <row r="71" spans="1:9" x14ac:dyDescent="0.35">
      <c r="A71" t="s">
        <v>111</v>
      </c>
      <c r="B71" t="s">
        <v>108</v>
      </c>
      <c r="C71" t="s">
        <v>16</v>
      </c>
      <c r="D71" t="s">
        <v>38</v>
      </c>
      <c r="E71" t="s">
        <v>4</v>
      </c>
      <c r="F71" t="s">
        <v>24</v>
      </c>
      <c r="G71">
        <v>138.79</v>
      </c>
      <c r="H71">
        <v>8</v>
      </c>
      <c r="I71">
        <v>10.119999999999999</v>
      </c>
    </row>
    <row r="72" spans="1:9" x14ac:dyDescent="0.35">
      <c r="A72" t="s">
        <v>112</v>
      </c>
      <c r="B72" t="s">
        <v>108</v>
      </c>
      <c r="C72" t="s">
        <v>16</v>
      </c>
      <c r="D72" t="s">
        <v>23</v>
      </c>
      <c r="E72" t="s">
        <v>4</v>
      </c>
      <c r="F72" t="s">
        <v>20</v>
      </c>
      <c r="G72">
        <v>33.729999999999997</v>
      </c>
      <c r="H72">
        <v>9</v>
      </c>
      <c r="I72">
        <v>0.75</v>
      </c>
    </row>
    <row r="73" spans="1:9" x14ac:dyDescent="0.35">
      <c r="A73" t="s">
        <v>113</v>
      </c>
      <c r="B73" t="s">
        <v>108</v>
      </c>
      <c r="C73" t="s">
        <v>22</v>
      </c>
      <c r="D73" t="s">
        <v>38</v>
      </c>
      <c r="E73" t="s">
        <v>5</v>
      </c>
      <c r="F73" t="s">
        <v>41</v>
      </c>
      <c r="G73">
        <v>91.07</v>
      </c>
      <c r="H73">
        <v>1</v>
      </c>
      <c r="I73">
        <v>14.61</v>
      </c>
    </row>
    <row r="74" spans="1:9" x14ac:dyDescent="0.35">
      <c r="A74" t="s">
        <v>114</v>
      </c>
      <c r="B74" t="s">
        <v>115</v>
      </c>
      <c r="C74" t="s">
        <v>16</v>
      </c>
      <c r="D74" t="s">
        <v>23</v>
      </c>
      <c r="E74" t="s">
        <v>5</v>
      </c>
      <c r="F74" t="s">
        <v>41</v>
      </c>
      <c r="G74">
        <v>100.04</v>
      </c>
      <c r="H74">
        <v>9</v>
      </c>
      <c r="I74">
        <v>11.64</v>
      </c>
    </row>
    <row r="75" spans="1:9" x14ac:dyDescent="0.35">
      <c r="A75" t="s">
        <v>116</v>
      </c>
      <c r="B75" t="s">
        <v>115</v>
      </c>
      <c r="C75" t="s">
        <v>26</v>
      </c>
      <c r="D75" t="s">
        <v>23</v>
      </c>
      <c r="E75" t="s">
        <v>4</v>
      </c>
      <c r="F75" t="s">
        <v>24</v>
      </c>
      <c r="G75">
        <v>26.09</v>
      </c>
      <c r="H75">
        <v>3</v>
      </c>
      <c r="I75">
        <v>7.4</v>
      </c>
    </row>
    <row r="76" spans="1:9" x14ac:dyDescent="0.35">
      <c r="A76" t="s">
        <v>117</v>
      </c>
      <c r="B76" t="s">
        <v>115</v>
      </c>
      <c r="C76" t="s">
        <v>22</v>
      </c>
      <c r="D76" t="s">
        <v>23</v>
      </c>
      <c r="E76" t="s">
        <v>4</v>
      </c>
      <c r="F76" t="s">
        <v>39</v>
      </c>
      <c r="G76">
        <v>68.03</v>
      </c>
      <c r="H76">
        <v>9</v>
      </c>
      <c r="I76">
        <v>20.74</v>
      </c>
    </row>
    <row r="77" spans="1:9" x14ac:dyDescent="0.35">
      <c r="A77" t="s">
        <v>118</v>
      </c>
      <c r="B77" t="s">
        <v>115</v>
      </c>
      <c r="C77" t="s">
        <v>34</v>
      </c>
      <c r="D77" t="s">
        <v>38</v>
      </c>
      <c r="E77" t="s">
        <v>4</v>
      </c>
      <c r="F77" t="s">
        <v>20</v>
      </c>
      <c r="G77">
        <v>487.34</v>
      </c>
      <c r="H77">
        <v>1</v>
      </c>
      <c r="I77">
        <v>88.71</v>
      </c>
    </row>
    <row r="78" spans="1:9" x14ac:dyDescent="0.35">
      <c r="A78" t="s">
        <v>119</v>
      </c>
      <c r="B78" t="s">
        <v>115</v>
      </c>
      <c r="C78" t="s">
        <v>34</v>
      </c>
      <c r="D78" t="s">
        <v>23</v>
      </c>
      <c r="E78" t="s">
        <v>4</v>
      </c>
      <c r="F78" t="s">
        <v>20</v>
      </c>
      <c r="G78">
        <v>480.67</v>
      </c>
      <c r="H78">
        <v>1</v>
      </c>
      <c r="I78">
        <v>130.80000000000001</v>
      </c>
    </row>
    <row r="79" spans="1:9" x14ac:dyDescent="0.35">
      <c r="A79" t="s">
        <v>120</v>
      </c>
      <c r="B79" t="s">
        <v>115</v>
      </c>
      <c r="C79" t="s">
        <v>22</v>
      </c>
      <c r="D79" t="s">
        <v>23</v>
      </c>
      <c r="E79" t="s">
        <v>5</v>
      </c>
      <c r="F79" t="s">
        <v>31</v>
      </c>
      <c r="G79">
        <v>85.16</v>
      </c>
      <c r="H79">
        <v>9</v>
      </c>
      <c r="I79">
        <v>22.43</v>
      </c>
    </row>
    <row r="80" spans="1:9" x14ac:dyDescent="0.35">
      <c r="A80" t="s">
        <v>121</v>
      </c>
      <c r="B80" t="s">
        <v>122</v>
      </c>
      <c r="C80" t="s">
        <v>26</v>
      </c>
      <c r="D80" t="s">
        <v>17</v>
      </c>
      <c r="E80" t="s">
        <v>3</v>
      </c>
      <c r="F80" t="s">
        <v>18</v>
      </c>
      <c r="G80">
        <v>26.61</v>
      </c>
      <c r="H80">
        <v>6</v>
      </c>
      <c r="I80">
        <v>-1.58</v>
      </c>
    </row>
    <row r="81" spans="1:9" x14ac:dyDescent="0.35">
      <c r="A81" t="s">
        <v>123</v>
      </c>
      <c r="B81" t="s">
        <v>122</v>
      </c>
      <c r="C81" t="s">
        <v>34</v>
      </c>
      <c r="D81" t="s">
        <v>17</v>
      </c>
      <c r="E81" t="s">
        <v>5</v>
      </c>
      <c r="F81" t="s">
        <v>31</v>
      </c>
      <c r="G81">
        <v>49.6</v>
      </c>
      <c r="H81">
        <v>4</v>
      </c>
      <c r="I81">
        <v>10.75</v>
      </c>
    </row>
    <row r="82" spans="1:9" x14ac:dyDescent="0.35">
      <c r="A82" t="s">
        <v>124</v>
      </c>
      <c r="B82" t="s">
        <v>122</v>
      </c>
      <c r="C82" t="s">
        <v>34</v>
      </c>
      <c r="D82" t="s">
        <v>23</v>
      </c>
      <c r="E82" t="s">
        <v>4</v>
      </c>
      <c r="F82" t="s">
        <v>20</v>
      </c>
      <c r="G82">
        <v>94.69</v>
      </c>
      <c r="H82">
        <v>7</v>
      </c>
      <c r="I82">
        <v>11.26</v>
      </c>
    </row>
    <row r="83" spans="1:9" x14ac:dyDescent="0.35">
      <c r="A83" t="s">
        <v>125</v>
      </c>
      <c r="B83" t="s">
        <v>122</v>
      </c>
      <c r="C83" t="s">
        <v>16</v>
      </c>
      <c r="D83" t="s">
        <v>17</v>
      </c>
      <c r="E83" t="s">
        <v>4</v>
      </c>
      <c r="F83" t="s">
        <v>24</v>
      </c>
      <c r="G83">
        <v>462.84</v>
      </c>
      <c r="H83">
        <v>5</v>
      </c>
      <c r="I83">
        <v>-2.21</v>
      </c>
    </row>
    <row r="84" spans="1:9" x14ac:dyDescent="0.35">
      <c r="A84" t="s">
        <v>126</v>
      </c>
      <c r="B84" t="s">
        <v>122</v>
      </c>
      <c r="C84" t="s">
        <v>16</v>
      </c>
      <c r="D84" t="s">
        <v>17</v>
      </c>
      <c r="E84" t="s">
        <v>3</v>
      </c>
      <c r="F84" t="s">
        <v>49</v>
      </c>
      <c r="G84">
        <v>42.83</v>
      </c>
      <c r="H84">
        <v>7</v>
      </c>
      <c r="I84">
        <v>-1.01</v>
      </c>
    </row>
    <row r="85" spans="1:9" x14ac:dyDescent="0.35">
      <c r="A85" t="s">
        <v>127</v>
      </c>
      <c r="B85" t="s">
        <v>122</v>
      </c>
      <c r="C85" t="s">
        <v>26</v>
      </c>
      <c r="D85" t="s">
        <v>17</v>
      </c>
      <c r="E85" t="s">
        <v>5</v>
      </c>
      <c r="F85" t="s">
        <v>29</v>
      </c>
      <c r="G85">
        <v>236.28</v>
      </c>
      <c r="H85">
        <v>8</v>
      </c>
      <c r="I85">
        <v>58.12</v>
      </c>
    </row>
    <row r="86" spans="1:9" x14ac:dyDescent="0.35">
      <c r="A86" t="s">
        <v>128</v>
      </c>
      <c r="B86" t="s">
        <v>129</v>
      </c>
      <c r="C86" t="s">
        <v>22</v>
      </c>
      <c r="D86" t="s">
        <v>17</v>
      </c>
      <c r="E86" t="s">
        <v>3</v>
      </c>
      <c r="F86" t="s">
        <v>18</v>
      </c>
      <c r="G86">
        <v>37.26</v>
      </c>
      <c r="H86">
        <v>8</v>
      </c>
      <c r="I86">
        <v>0.91</v>
      </c>
    </row>
    <row r="87" spans="1:9" x14ac:dyDescent="0.35">
      <c r="A87" t="s">
        <v>130</v>
      </c>
      <c r="B87" t="s">
        <v>129</v>
      </c>
      <c r="C87" t="s">
        <v>26</v>
      </c>
      <c r="D87" t="s">
        <v>17</v>
      </c>
      <c r="E87" t="s">
        <v>3</v>
      </c>
      <c r="F87" t="s">
        <v>27</v>
      </c>
      <c r="G87">
        <v>616.54</v>
      </c>
      <c r="H87">
        <v>1</v>
      </c>
      <c r="I87">
        <v>-25.06</v>
      </c>
    </row>
    <row r="88" spans="1:9" x14ac:dyDescent="0.35">
      <c r="A88" t="s">
        <v>131</v>
      </c>
      <c r="B88" t="s">
        <v>129</v>
      </c>
      <c r="C88" t="s">
        <v>22</v>
      </c>
      <c r="D88" t="s">
        <v>17</v>
      </c>
      <c r="E88" t="s">
        <v>4</v>
      </c>
      <c r="F88" t="s">
        <v>24</v>
      </c>
      <c r="G88">
        <v>92.1</v>
      </c>
      <c r="H88">
        <v>8</v>
      </c>
      <c r="I88">
        <v>12.32</v>
      </c>
    </row>
    <row r="89" spans="1:9" x14ac:dyDescent="0.35">
      <c r="A89" t="s">
        <v>132</v>
      </c>
      <c r="B89" t="s">
        <v>129</v>
      </c>
      <c r="C89" t="s">
        <v>34</v>
      </c>
      <c r="D89" t="s">
        <v>38</v>
      </c>
      <c r="E89" t="s">
        <v>4</v>
      </c>
      <c r="F89" t="s">
        <v>20</v>
      </c>
      <c r="G89">
        <v>243.9</v>
      </c>
      <c r="H89">
        <v>6</v>
      </c>
      <c r="I89">
        <v>15.34</v>
      </c>
    </row>
    <row r="90" spans="1:9" x14ac:dyDescent="0.35">
      <c r="A90" t="s">
        <v>133</v>
      </c>
      <c r="B90" t="s">
        <v>129</v>
      </c>
      <c r="C90" t="s">
        <v>16</v>
      </c>
      <c r="D90" t="s">
        <v>23</v>
      </c>
      <c r="E90" t="s">
        <v>4</v>
      </c>
      <c r="F90" t="s">
        <v>24</v>
      </c>
      <c r="G90">
        <v>82.92</v>
      </c>
      <c r="H90">
        <v>4</v>
      </c>
      <c r="I90">
        <v>13.04</v>
      </c>
    </row>
    <row r="91" spans="1:9" x14ac:dyDescent="0.35">
      <c r="A91" t="s">
        <v>134</v>
      </c>
      <c r="B91" t="s">
        <v>129</v>
      </c>
      <c r="C91" t="s">
        <v>26</v>
      </c>
      <c r="D91" t="s">
        <v>17</v>
      </c>
      <c r="E91" t="s">
        <v>3</v>
      </c>
      <c r="F91" t="s">
        <v>18</v>
      </c>
      <c r="G91">
        <v>168.2</v>
      </c>
      <c r="H91">
        <v>8</v>
      </c>
      <c r="I91">
        <v>4.01</v>
      </c>
    </row>
    <row r="92" spans="1:9" x14ac:dyDescent="0.35">
      <c r="A92" t="s">
        <v>135</v>
      </c>
      <c r="B92" t="s">
        <v>136</v>
      </c>
      <c r="C92" t="s">
        <v>26</v>
      </c>
      <c r="D92" t="s">
        <v>17</v>
      </c>
      <c r="E92" t="s">
        <v>5</v>
      </c>
      <c r="F92" t="s">
        <v>41</v>
      </c>
      <c r="G92">
        <v>51.98</v>
      </c>
      <c r="H92">
        <v>3</v>
      </c>
      <c r="I92">
        <v>7.05</v>
      </c>
    </row>
    <row r="93" spans="1:9" x14ac:dyDescent="0.35">
      <c r="A93" t="s">
        <v>137</v>
      </c>
      <c r="B93" t="s">
        <v>136</v>
      </c>
      <c r="C93" t="s">
        <v>22</v>
      </c>
      <c r="D93" t="s">
        <v>23</v>
      </c>
      <c r="E93" t="s">
        <v>4</v>
      </c>
      <c r="F93" t="s">
        <v>24</v>
      </c>
      <c r="G93">
        <v>43.68</v>
      </c>
      <c r="H93">
        <v>4</v>
      </c>
      <c r="I93">
        <v>6.93</v>
      </c>
    </row>
    <row r="94" spans="1:9" x14ac:dyDescent="0.35">
      <c r="A94" t="s">
        <v>138</v>
      </c>
      <c r="B94" t="s">
        <v>136</v>
      </c>
      <c r="C94" t="s">
        <v>22</v>
      </c>
      <c r="D94" t="s">
        <v>17</v>
      </c>
      <c r="E94" t="s">
        <v>4</v>
      </c>
      <c r="F94" t="s">
        <v>20</v>
      </c>
      <c r="G94">
        <v>437.25</v>
      </c>
      <c r="H94">
        <v>6</v>
      </c>
      <c r="I94">
        <v>75.78</v>
      </c>
    </row>
    <row r="95" spans="1:9" x14ac:dyDescent="0.35">
      <c r="A95" t="s">
        <v>139</v>
      </c>
      <c r="B95" t="s">
        <v>136</v>
      </c>
      <c r="C95" t="s">
        <v>26</v>
      </c>
      <c r="D95" t="s">
        <v>38</v>
      </c>
      <c r="E95" t="s">
        <v>3</v>
      </c>
      <c r="F95" t="s">
        <v>49</v>
      </c>
      <c r="G95">
        <v>394.51</v>
      </c>
      <c r="H95">
        <v>7</v>
      </c>
      <c r="I95">
        <v>-48.05</v>
      </c>
    </row>
    <row r="96" spans="1:9" x14ac:dyDescent="0.35">
      <c r="A96" t="s">
        <v>140</v>
      </c>
      <c r="B96" t="s">
        <v>136</v>
      </c>
      <c r="C96" t="s">
        <v>22</v>
      </c>
      <c r="D96" t="s">
        <v>23</v>
      </c>
      <c r="E96" t="s">
        <v>4</v>
      </c>
      <c r="F96" t="s">
        <v>39</v>
      </c>
      <c r="G96">
        <v>347.68</v>
      </c>
      <c r="H96">
        <v>4</v>
      </c>
      <c r="I96">
        <v>31.71</v>
      </c>
    </row>
    <row r="97" spans="1:9" x14ac:dyDescent="0.35">
      <c r="A97" t="s">
        <v>141</v>
      </c>
      <c r="B97" t="s">
        <v>136</v>
      </c>
      <c r="C97" t="s">
        <v>26</v>
      </c>
      <c r="D97" t="s">
        <v>23</v>
      </c>
      <c r="E97" t="s">
        <v>3</v>
      </c>
      <c r="F97" t="s">
        <v>18</v>
      </c>
      <c r="G97">
        <v>167.3</v>
      </c>
      <c r="H97">
        <v>4</v>
      </c>
      <c r="I97">
        <v>-4.51</v>
      </c>
    </row>
    <row r="98" spans="1:9" x14ac:dyDescent="0.35">
      <c r="A98" t="s">
        <v>142</v>
      </c>
      <c r="B98" t="s">
        <v>143</v>
      </c>
      <c r="C98" t="s">
        <v>26</v>
      </c>
      <c r="D98" t="s">
        <v>17</v>
      </c>
      <c r="E98" t="s">
        <v>3</v>
      </c>
      <c r="F98" t="s">
        <v>27</v>
      </c>
      <c r="G98">
        <v>267.75</v>
      </c>
      <c r="H98">
        <v>7</v>
      </c>
      <c r="I98">
        <v>-43.73</v>
      </c>
    </row>
    <row r="99" spans="1:9" x14ac:dyDescent="0.35">
      <c r="A99" t="s">
        <v>144</v>
      </c>
      <c r="B99" t="s">
        <v>143</v>
      </c>
      <c r="C99" t="s">
        <v>26</v>
      </c>
      <c r="D99" t="s">
        <v>23</v>
      </c>
      <c r="E99" t="s">
        <v>3</v>
      </c>
      <c r="F99" t="s">
        <v>18</v>
      </c>
      <c r="G99">
        <v>30.73</v>
      </c>
      <c r="H99">
        <v>6</v>
      </c>
      <c r="I99">
        <v>-0.46</v>
      </c>
    </row>
    <row r="100" spans="1:9" x14ac:dyDescent="0.35">
      <c r="A100" t="s">
        <v>145</v>
      </c>
      <c r="B100" t="s">
        <v>143</v>
      </c>
      <c r="C100" t="s">
        <v>34</v>
      </c>
      <c r="D100" t="s">
        <v>17</v>
      </c>
      <c r="E100" t="s">
        <v>5</v>
      </c>
      <c r="F100" t="s">
        <v>41</v>
      </c>
      <c r="G100">
        <v>81.150000000000006</v>
      </c>
      <c r="H100">
        <v>8</v>
      </c>
      <c r="I100">
        <v>13.02</v>
      </c>
    </row>
    <row r="101" spans="1:9" x14ac:dyDescent="0.35">
      <c r="A101" t="s">
        <v>146</v>
      </c>
      <c r="B101" t="s">
        <v>143</v>
      </c>
      <c r="C101" t="s">
        <v>22</v>
      </c>
      <c r="D101" t="s">
        <v>38</v>
      </c>
      <c r="E101" t="s">
        <v>5</v>
      </c>
      <c r="F101" t="s">
        <v>29</v>
      </c>
      <c r="G101">
        <v>76.47</v>
      </c>
      <c r="H101">
        <v>1</v>
      </c>
      <c r="I101">
        <v>27.25</v>
      </c>
    </row>
    <row r="102" spans="1:9" x14ac:dyDescent="0.35">
      <c r="A102" t="s">
        <v>147</v>
      </c>
      <c r="B102" t="s">
        <v>143</v>
      </c>
      <c r="C102" t="s">
        <v>16</v>
      </c>
      <c r="D102" t="s">
        <v>23</v>
      </c>
      <c r="E102" t="s">
        <v>5</v>
      </c>
      <c r="F102" t="s">
        <v>31</v>
      </c>
      <c r="G102">
        <v>171.44</v>
      </c>
      <c r="H102">
        <v>7</v>
      </c>
      <c r="I102">
        <v>82.94</v>
      </c>
    </row>
    <row r="103" spans="1:9" x14ac:dyDescent="0.35">
      <c r="A103" t="s">
        <v>148</v>
      </c>
      <c r="B103" t="s">
        <v>143</v>
      </c>
      <c r="C103" t="s">
        <v>16</v>
      </c>
      <c r="D103" t="s">
        <v>17</v>
      </c>
      <c r="E103" t="s">
        <v>4</v>
      </c>
      <c r="F103" t="s">
        <v>39</v>
      </c>
      <c r="G103">
        <v>86</v>
      </c>
      <c r="H103">
        <v>7</v>
      </c>
      <c r="I103">
        <v>5.5</v>
      </c>
    </row>
    <row r="104" spans="1:9" x14ac:dyDescent="0.35">
      <c r="A104" t="s">
        <v>149</v>
      </c>
      <c r="B104" t="s">
        <v>150</v>
      </c>
      <c r="C104" t="s">
        <v>22</v>
      </c>
      <c r="D104" t="s">
        <v>17</v>
      </c>
      <c r="E104" t="s">
        <v>3</v>
      </c>
      <c r="F104" t="s">
        <v>18</v>
      </c>
      <c r="G104">
        <v>44.11</v>
      </c>
      <c r="H104">
        <v>7</v>
      </c>
      <c r="I104">
        <v>0.15</v>
      </c>
    </row>
    <row r="105" spans="1:9" x14ac:dyDescent="0.35">
      <c r="A105" t="s">
        <v>151</v>
      </c>
      <c r="B105" t="s">
        <v>150</v>
      </c>
      <c r="C105" t="s">
        <v>26</v>
      </c>
      <c r="D105" t="s">
        <v>17</v>
      </c>
      <c r="E105" t="s">
        <v>3</v>
      </c>
      <c r="F105" t="s">
        <v>27</v>
      </c>
      <c r="G105">
        <v>156.12</v>
      </c>
      <c r="H105">
        <v>7</v>
      </c>
      <c r="I105">
        <v>-19.149999999999999</v>
      </c>
    </row>
    <row r="106" spans="1:9" x14ac:dyDescent="0.35">
      <c r="A106" t="s">
        <v>152</v>
      </c>
      <c r="B106" t="s">
        <v>150</v>
      </c>
      <c r="C106" t="s">
        <v>16</v>
      </c>
      <c r="D106" t="s">
        <v>23</v>
      </c>
      <c r="E106" t="s">
        <v>4</v>
      </c>
      <c r="F106" t="s">
        <v>39</v>
      </c>
      <c r="G106">
        <v>272.61</v>
      </c>
      <c r="H106">
        <v>8</v>
      </c>
      <c r="I106">
        <v>69.27</v>
      </c>
    </row>
    <row r="107" spans="1:9" x14ac:dyDescent="0.35">
      <c r="A107" t="s">
        <v>153</v>
      </c>
      <c r="B107" t="s">
        <v>150</v>
      </c>
      <c r="C107" t="s">
        <v>16</v>
      </c>
      <c r="D107" t="s">
        <v>17</v>
      </c>
      <c r="E107" t="s">
        <v>5</v>
      </c>
      <c r="F107" t="s">
        <v>31</v>
      </c>
      <c r="G107">
        <v>92.22</v>
      </c>
      <c r="H107">
        <v>9</v>
      </c>
      <c r="I107">
        <v>11.39</v>
      </c>
    </row>
    <row r="108" spans="1:9" x14ac:dyDescent="0.35">
      <c r="A108" t="s">
        <v>154</v>
      </c>
      <c r="B108" t="s">
        <v>150</v>
      </c>
      <c r="C108" t="s">
        <v>22</v>
      </c>
      <c r="D108" t="s">
        <v>23</v>
      </c>
      <c r="E108" t="s">
        <v>3</v>
      </c>
      <c r="F108" t="s">
        <v>49</v>
      </c>
      <c r="G108">
        <v>41.28</v>
      </c>
      <c r="H108">
        <v>9</v>
      </c>
      <c r="I108">
        <v>-0.08</v>
      </c>
    </row>
    <row r="109" spans="1:9" x14ac:dyDescent="0.35">
      <c r="A109" t="s">
        <v>155</v>
      </c>
      <c r="B109" t="s">
        <v>150</v>
      </c>
      <c r="C109" t="s">
        <v>16</v>
      </c>
      <c r="D109" t="s">
        <v>17</v>
      </c>
      <c r="E109" t="s">
        <v>4</v>
      </c>
      <c r="F109" t="s">
        <v>20</v>
      </c>
      <c r="G109">
        <v>52.85</v>
      </c>
      <c r="H109">
        <v>2</v>
      </c>
      <c r="I109">
        <v>3.31</v>
      </c>
    </row>
    <row r="110" spans="1:9" x14ac:dyDescent="0.35">
      <c r="A110" t="s">
        <v>156</v>
      </c>
      <c r="B110" t="s">
        <v>157</v>
      </c>
      <c r="C110" t="s">
        <v>26</v>
      </c>
      <c r="D110" t="s">
        <v>23</v>
      </c>
      <c r="E110" t="s">
        <v>5</v>
      </c>
      <c r="F110" t="s">
        <v>31</v>
      </c>
      <c r="G110">
        <v>60.67</v>
      </c>
      <c r="H110">
        <v>7</v>
      </c>
      <c r="I110">
        <v>13.91</v>
      </c>
    </row>
    <row r="111" spans="1:9" x14ac:dyDescent="0.35">
      <c r="A111" t="s">
        <v>158</v>
      </c>
      <c r="B111" t="s">
        <v>157</v>
      </c>
      <c r="C111" t="s">
        <v>22</v>
      </c>
      <c r="D111" t="s">
        <v>38</v>
      </c>
      <c r="E111" t="s">
        <v>5</v>
      </c>
      <c r="F111" t="s">
        <v>41</v>
      </c>
      <c r="G111">
        <v>73.48</v>
      </c>
      <c r="H111">
        <v>7</v>
      </c>
      <c r="I111">
        <v>10.79</v>
      </c>
    </row>
    <row r="112" spans="1:9" x14ac:dyDescent="0.35">
      <c r="A112" t="s">
        <v>159</v>
      </c>
      <c r="B112" t="s">
        <v>157</v>
      </c>
      <c r="C112" t="s">
        <v>26</v>
      </c>
      <c r="D112" t="s">
        <v>23</v>
      </c>
      <c r="E112" t="s">
        <v>5</v>
      </c>
      <c r="F112" t="s">
        <v>31</v>
      </c>
      <c r="G112">
        <v>174.42</v>
      </c>
      <c r="H112">
        <v>4</v>
      </c>
      <c r="I112">
        <v>57.95</v>
      </c>
    </row>
    <row r="113" spans="1:9" x14ac:dyDescent="0.35">
      <c r="A113" t="s">
        <v>160</v>
      </c>
      <c r="B113" t="s">
        <v>157</v>
      </c>
      <c r="C113" t="s">
        <v>16</v>
      </c>
      <c r="D113" t="s">
        <v>23</v>
      </c>
      <c r="E113" t="s">
        <v>5</v>
      </c>
      <c r="F113" t="s">
        <v>31</v>
      </c>
      <c r="G113">
        <v>157.80000000000001</v>
      </c>
      <c r="H113">
        <v>9</v>
      </c>
      <c r="I113">
        <v>26.24</v>
      </c>
    </row>
    <row r="114" spans="1:9" x14ac:dyDescent="0.35">
      <c r="A114" t="s">
        <v>161</v>
      </c>
      <c r="B114" t="s">
        <v>157</v>
      </c>
      <c r="C114" t="s">
        <v>16</v>
      </c>
      <c r="D114" t="s">
        <v>17</v>
      </c>
      <c r="E114" t="s">
        <v>4</v>
      </c>
      <c r="F114" t="s">
        <v>20</v>
      </c>
      <c r="G114">
        <v>198.65</v>
      </c>
      <c r="H114">
        <v>8</v>
      </c>
      <c r="I114">
        <v>40.76</v>
      </c>
    </row>
    <row r="115" spans="1:9" x14ac:dyDescent="0.35">
      <c r="A115" t="s">
        <v>162</v>
      </c>
      <c r="B115" t="s">
        <v>157</v>
      </c>
      <c r="C115" t="s">
        <v>26</v>
      </c>
      <c r="D115" t="s">
        <v>17</v>
      </c>
      <c r="E115" t="s">
        <v>4</v>
      </c>
      <c r="F115" t="s">
        <v>24</v>
      </c>
      <c r="G115">
        <v>87.53</v>
      </c>
      <c r="H115">
        <v>1</v>
      </c>
      <c r="I115">
        <v>10.119999999999999</v>
      </c>
    </row>
    <row r="116" spans="1:9" x14ac:dyDescent="0.35">
      <c r="A116" t="s">
        <v>163</v>
      </c>
      <c r="B116" t="s">
        <v>164</v>
      </c>
      <c r="C116" t="s">
        <v>34</v>
      </c>
      <c r="D116" t="s">
        <v>23</v>
      </c>
      <c r="E116" t="s">
        <v>4</v>
      </c>
      <c r="F116" t="s">
        <v>39</v>
      </c>
      <c r="G116">
        <v>280.58999999999997</v>
      </c>
      <c r="H116">
        <v>2</v>
      </c>
      <c r="I116">
        <v>38.880000000000003</v>
      </c>
    </row>
    <row r="117" spans="1:9" x14ac:dyDescent="0.35">
      <c r="A117" t="s">
        <v>165</v>
      </c>
      <c r="B117" t="s">
        <v>164</v>
      </c>
      <c r="C117" t="s">
        <v>16</v>
      </c>
      <c r="D117" t="s">
        <v>17</v>
      </c>
      <c r="E117" t="s">
        <v>4</v>
      </c>
      <c r="F117" t="s">
        <v>39</v>
      </c>
      <c r="G117">
        <v>54.24</v>
      </c>
      <c r="H117">
        <v>2</v>
      </c>
      <c r="I117">
        <v>8.94</v>
      </c>
    </row>
    <row r="118" spans="1:9" x14ac:dyDescent="0.35">
      <c r="A118" t="s">
        <v>166</v>
      </c>
      <c r="B118" t="s">
        <v>164</v>
      </c>
      <c r="C118" t="s">
        <v>34</v>
      </c>
      <c r="D118" t="s">
        <v>17</v>
      </c>
      <c r="E118" t="s">
        <v>4</v>
      </c>
      <c r="F118" t="s">
        <v>39</v>
      </c>
      <c r="G118">
        <v>114.96</v>
      </c>
      <c r="H118">
        <v>8</v>
      </c>
      <c r="I118">
        <v>8.49</v>
      </c>
    </row>
    <row r="119" spans="1:9" x14ac:dyDescent="0.35">
      <c r="A119" t="s">
        <v>167</v>
      </c>
      <c r="B119" t="s">
        <v>164</v>
      </c>
      <c r="C119" t="s">
        <v>16</v>
      </c>
      <c r="D119" t="s">
        <v>17</v>
      </c>
      <c r="E119" t="s">
        <v>5</v>
      </c>
      <c r="F119" t="s">
        <v>41</v>
      </c>
      <c r="G119">
        <v>262.12</v>
      </c>
      <c r="H119">
        <v>1</v>
      </c>
      <c r="I119">
        <v>71.040000000000006</v>
      </c>
    </row>
    <row r="120" spans="1:9" x14ac:dyDescent="0.35">
      <c r="A120" t="s">
        <v>168</v>
      </c>
      <c r="B120" t="s">
        <v>164</v>
      </c>
      <c r="C120" t="s">
        <v>34</v>
      </c>
      <c r="D120" t="s">
        <v>17</v>
      </c>
      <c r="E120" t="s">
        <v>4</v>
      </c>
      <c r="F120" t="s">
        <v>20</v>
      </c>
      <c r="G120">
        <v>49.8</v>
      </c>
      <c r="H120">
        <v>4</v>
      </c>
      <c r="I120">
        <v>15.09</v>
      </c>
    </row>
    <row r="121" spans="1:9" x14ac:dyDescent="0.35">
      <c r="A121" t="s">
        <v>169</v>
      </c>
      <c r="B121" t="s">
        <v>164</v>
      </c>
      <c r="C121" t="s">
        <v>34</v>
      </c>
      <c r="D121" t="s">
        <v>17</v>
      </c>
      <c r="E121" t="s">
        <v>3</v>
      </c>
      <c r="F121" t="s">
        <v>27</v>
      </c>
      <c r="G121">
        <v>37.46</v>
      </c>
      <c r="H121">
        <v>5</v>
      </c>
      <c r="I121">
        <v>-4.79</v>
      </c>
    </row>
    <row r="122" spans="1:9" x14ac:dyDescent="0.35">
      <c r="A122" t="s">
        <v>170</v>
      </c>
      <c r="B122" t="s">
        <v>171</v>
      </c>
      <c r="C122" t="s">
        <v>34</v>
      </c>
      <c r="D122" t="s">
        <v>38</v>
      </c>
      <c r="E122" t="s">
        <v>4</v>
      </c>
      <c r="F122" t="s">
        <v>20</v>
      </c>
      <c r="G122">
        <v>342.72</v>
      </c>
      <c r="H122">
        <v>9</v>
      </c>
      <c r="I122">
        <v>91.57</v>
      </c>
    </row>
    <row r="123" spans="1:9" x14ac:dyDescent="0.35">
      <c r="A123" t="s">
        <v>172</v>
      </c>
      <c r="B123" t="s">
        <v>171</v>
      </c>
      <c r="C123" t="s">
        <v>26</v>
      </c>
      <c r="D123" t="s">
        <v>17</v>
      </c>
      <c r="E123" t="s">
        <v>4</v>
      </c>
      <c r="F123" t="s">
        <v>24</v>
      </c>
      <c r="G123">
        <v>82.99</v>
      </c>
      <c r="H123">
        <v>7</v>
      </c>
      <c r="I123">
        <v>24.88</v>
      </c>
    </row>
    <row r="124" spans="1:9" x14ac:dyDescent="0.35">
      <c r="A124" t="s">
        <v>173</v>
      </c>
      <c r="B124" t="s">
        <v>171</v>
      </c>
      <c r="C124" t="s">
        <v>34</v>
      </c>
      <c r="D124" t="s">
        <v>23</v>
      </c>
      <c r="E124" t="s">
        <v>3</v>
      </c>
      <c r="F124" t="s">
        <v>27</v>
      </c>
      <c r="G124">
        <v>192.74</v>
      </c>
      <c r="H124">
        <v>8</v>
      </c>
      <c r="I124">
        <v>-25.37</v>
      </c>
    </row>
    <row r="125" spans="1:9" x14ac:dyDescent="0.35">
      <c r="A125" t="s">
        <v>174</v>
      </c>
      <c r="B125" t="s">
        <v>171</v>
      </c>
      <c r="C125" t="s">
        <v>34</v>
      </c>
      <c r="D125" t="s">
        <v>17</v>
      </c>
      <c r="E125" t="s">
        <v>5</v>
      </c>
      <c r="F125" t="s">
        <v>31</v>
      </c>
      <c r="G125">
        <v>23.85</v>
      </c>
      <c r="H125">
        <v>9</v>
      </c>
      <c r="I125">
        <v>2.4900000000000002</v>
      </c>
    </row>
    <row r="126" spans="1:9" x14ac:dyDescent="0.35">
      <c r="A126" t="s">
        <v>175</v>
      </c>
      <c r="B126" t="s">
        <v>171</v>
      </c>
      <c r="C126" t="s">
        <v>34</v>
      </c>
      <c r="D126" t="s">
        <v>23</v>
      </c>
      <c r="E126" t="s">
        <v>5</v>
      </c>
      <c r="F126" t="s">
        <v>29</v>
      </c>
      <c r="G126">
        <v>195.7</v>
      </c>
      <c r="H126">
        <v>7</v>
      </c>
      <c r="I126">
        <v>54.83</v>
      </c>
    </row>
    <row r="127" spans="1:9" x14ac:dyDescent="0.35">
      <c r="A127" t="s">
        <v>176</v>
      </c>
      <c r="B127" t="s">
        <v>171</v>
      </c>
      <c r="C127" t="s">
        <v>16</v>
      </c>
      <c r="D127" t="s">
        <v>17</v>
      </c>
      <c r="E127" t="s">
        <v>3</v>
      </c>
      <c r="F127" t="s">
        <v>27</v>
      </c>
      <c r="G127">
        <v>76.989999999999995</v>
      </c>
      <c r="H127">
        <v>5</v>
      </c>
      <c r="I127">
        <v>-8.06</v>
      </c>
    </row>
    <row r="128" spans="1:9" x14ac:dyDescent="0.35">
      <c r="A128" t="s">
        <v>177</v>
      </c>
      <c r="B128" t="s">
        <v>178</v>
      </c>
      <c r="C128" t="s">
        <v>34</v>
      </c>
      <c r="D128" t="s">
        <v>38</v>
      </c>
      <c r="E128" t="s">
        <v>4</v>
      </c>
      <c r="F128" t="s">
        <v>20</v>
      </c>
      <c r="G128">
        <v>28.6</v>
      </c>
      <c r="H128">
        <v>5</v>
      </c>
      <c r="I128">
        <v>9.6300000000000008</v>
      </c>
    </row>
    <row r="129" spans="1:9" x14ac:dyDescent="0.35">
      <c r="A129" t="s">
        <v>179</v>
      </c>
      <c r="B129" t="s">
        <v>178</v>
      </c>
      <c r="C129" t="s">
        <v>16</v>
      </c>
      <c r="D129" t="s">
        <v>38</v>
      </c>
      <c r="E129" t="s">
        <v>4</v>
      </c>
      <c r="F129" t="s">
        <v>39</v>
      </c>
      <c r="G129">
        <v>161.16999999999999</v>
      </c>
      <c r="H129">
        <v>6</v>
      </c>
      <c r="I129">
        <v>24.74</v>
      </c>
    </row>
    <row r="130" spans="1:9" x14ac:dyDescent="0.35">
      <c r="A130" t="s">
        <v>180</v>
      </c>
      <c r="B130" t="s">
        <v>178</v>
      </c>
      <c r="C130" t="s">
        <v>34</v>
      </c>
      <c r="D130" t="s">
        <v>17</v>
      </c>
      <c r="E130" t="s">
        <v>5</v>
      </c>
      <c r="F130" t="s">
        <v>41</v>
      </c>
      <c r="G130">
        <v>61.32</v>
      </c>
      <c r="H130">
        <v>5</v>
      </c>
      <c r="I130">
        <v>10.41</v>
      </c>
    </row>
    <row r="131" spans="1:9" x14ac:dyDescent="0.35">
      <c r="A131" t="s">
        <v>181</v>
      </c>
      <c r="B131" t="s">
        <v>178</v>
      </c>
      <c r="C131" t="s">
        <v>34</v>
      </c>
      <c r="D131" t="s">
        <v>38</v>
      </c>
      <c r="E131" t="s">
        <v>3</v>
      </c>
      <c r="F131" t="s">
        <v>27</v>
      </c>
      <c r="G131">
        <v>93.36</v>
      </c>
      <c r="H131">
        <v>9</v>
      </c>
      <c r="I131">
        <v>-15.38</v>
      </c>
    </row>
    <row r="132" spans="1:9" x14ac:dyDescent="0.35">
      <c r="A132" t="s">
        <v>182</v>
      </c>
      <c r="B132" t="s">
        <v>178</v>
      </c>
      <c r="C132" t="s">
        <v>26</v>
      </c>
      <c r="D132" t="s">
        <v>38</v>
      </c>
      <c r="E132" t="s">
        <v>3</v>
      </c>
      <c r="F132" t="s">
        <v>18</v>
      </c>
      <c r="G132">
        <v>32.6</v>
      </c>
      <c r="H132">
        <v>3</v>
      </c>
      <c r="I132">
        <v>1.92</v>
      </c>
    </row>
    <row r="133" spans="1:9" x14ac:dyDescent="0.35">
      <c r="A133" t="s">
        <v>183</v>
      </c>
      <c r="B133" t="s">
        <v>178</v>
      </c>
      <c r="C133" t="s">
        <v>16</v>
      </c>
      <c r="D133" t="s">
        <v>38</v>
      </c>
      <c r="E133" t="s">
        <v>5</v>
      </c>
      <c r="F133" t="s">
        <v>41</v>
      </c>
      <c r="G133">
        <v>43.88</v>
      </c>
      <c r="H133">
        <v>3</v>
      </c>
      <c r="I133">
        <v>8.4600000000000009</v>
      </c>
    </row>
    <row r="134" spans="1:9" x14ac:dyDescent="0.35">
      <c r="A134" t="s">
        <v>184</v>
      </c>
      <c r="B134" t="s">
        <v>185</v>
      </c>
      <c r="C134" t="s">
        <v>34</v>
      </c>
      <c r="D134" t="s">
        <v>38</v>
      </c>
      <c r="E134" t="s">
        <v>5</v>
      </c>
      <c r="F134" t="s">
        <v>29</v>
      </c>
      <c r="G134">
        <v>73.069999999999993</v>
      </c>
      <c r="H134">
        <v>7</v>
      </c>
      <c r="I134">
        <v>18.59</v>
      </c>
    </row>
    <row r="135" spans="1:9" x14ac:dyDescent="0.35">
      <c r="A135" t="s">
        <v>186</v>
      </c>
      <c r="B135" t="s">
        <v>185</v>
      </c>
      <c r="C135" t="s">
        <v>16</v>
      </c>
      <c r="D135" t="s">
        <v>17</v>
      </c>
      <c r="E135" t="s">
        <v>3</v>
      </c>
      <c r="F135" t="s">
        <v>18</v>
      </c>
      <c r="G135">
        <v>34.11</v>
      </c>
      <c r="H135">
        <v>7</v>
      </c>
      <c r="I135">
        <v>1.55</v>
      </c>
    </row>
    <row r="136" spans="1:9" x14ac:dyDescent="0.35">
      <c r="A136" t="s">
        <v>187</v>
      </c>
      <c r="B136" t="s">
        <v>185</v>
      </c>
      <c r="C136" t="s">
        <v>16</v>
      </c>
      <c r="D136" t="s">
        <v>23</v>
      </c>
      <c r="E136" t="s">
        <v>4</v>
      </c>
      <c r="F136" t="s">
        <v>24</v>
      </c>
      <c r="G136">
        <v>382.58</v>
      </c>
      <c r="H136">
        <v>6</v>
      </c>
      <c r="I136">
        <v>38.86</v>
      </c>
    </row>
    <row r="137" spans="1:9" x14ac:dyDescent="0.35">
      <c r="A137" t="s">
        <v>188</v>
      </c>
      <c r="B137" t="s">
        <v>185</v>
      </c>
      <c r="C137" t="s">
        <v>22</v>
      </c>
      <c r="D137" t="s">
        <v>17</v>
      </c>
      <c r="E137" t="s">
        <v>3</v>
      </c>
      <c r="F137" t="s">
        <v>49</v>
      </c>
      <c r="G137">
        <v>20.91</v>
      </c>
      <c r="H137">
        <v>3</v>
      </c>
      <c r="I137">
        <v>-1.1399999999999999</v>
      </c>
    </row>
    <row r="138" spans="1:9" x14ac:dyDescent="0.35">
      <c r="A138" t="s">
        <v>189</v>
      </c>
      <c r="B138" t="s">
        <v>185</v>
      </c>
      <c r="C138" t="s">
        <v>26</v>
      </c>
      <c r="D138" t="s">
        <v>17</v>
      </c>
      <c r="E138" t="s">
        <v>3</v>
      </c>
      <c r="F138" t="s">
        <v>27</v>
      </c>
      <c r="G138">
        <v>119.21</v>
      </c>
      <c r="H138">
        <v>7</v>
      </c>
      <c r="I138">
        <v>-6.16</v>
      </c>
    </row>
    <row r="139" spans="1:9" x14ac:dyDescent="0.35">
      <c r="A139" t="s">
        <v>190</v>
      </c>
      <c r="B139" t="s">
        <v>185</v>
      </c>
      <c r="C139" t="s">
        <v>26</v>
      </c>
      <c r="D139" t="s">
        <v>38</v>
      </c>
      <c r="E139" t="s">
        <v>4</v>
      </c>
      <c r="F139" t="s">
        <v>24</v>
      </c>
      <c r="G139">
        <v>39.729999999999997</v>
      </c>
      <c r="H139">
        <v>5</v>
      </c>
      <c r="I139">
        <v>8.67</v>
      </c>
    </row>
    <row r="140" spans="1:9" x14ac:dyDescent="0.35">
      <c r="A140" t="s">
        <v>191</v>
      </c>
      <c r="B140" t="s">
        <v>192</v>
      </c>
      <c r="C140" t="s">
        <v>26</v>
      </c>
      <c r="D140" t="s">
        <v>17</v>
      </c>
      <c r="E140" t="s">
        <v>3</v>
      </c>
      <c r="F140" t="s">
        <v>49</v>
      </c>
      <c r="G140">
        <v>75.16</v>
      </c>
      <c r="H140">
        <v>7</v>
      </c>
      <c r="I140">
        <v>0.68</v>
      </c>
    </row>
    <row r="141" spans="1:9" x14ac:dyDescent="0.35">
      <c r="A141" t="s">
        <v>193</v>
      </c>
      <c r="B141" t="s">
        <v>192</v>
      </c>
      <c r="C141" t="s">
        <v>22</v>
      </c>
      <c r="D141" t="s">
        <v>23</v>
      </c>
      <c r="E141" t="s">
        <v>4</v>
      </c>
      <c r="F141" t="s">
        <v>39</v>
      </c>
      <c r="G141">
        <v>410.67</v>
      </c>
      <c r="H141">
        <v>2</v>
      </c>
      <c r="I141">
        <v>52.56</v>
      </c>
    </row>
    <row r="142" spans="1:9" x14ac:dyDescent="0.35">
      <c r="A142" t="s">
        <v>194</v>
      </c>
      <c r="B142" t="s">
        <v>192</v>
      </c>
      <c r="C142" t="s">
        <v>22</v>
      </c>
      <c r="D142" t="s">
        <v>38</v>
      </c>
      <c r="E142" t="s">
        <v>4</v>
      </c>
      <c r="F142" t="s">
        <v>20</v>
      </c>
      <c r="G142">
        <v>46.46</v>
      </c>
      <c r="H142">
        <v>6</v>
      </c>
      <c r="I142">
        <v>7.26</v>
      </c>
    </row>
    <row r="143" spans="1:9" x14ac:dyDescent="0.35">
      <c r="A143" t="s">
        <v>195</v>
      </c>
      <c r="B143" t="s">
        <v>192</v>
      </c>
      <c r="C143" t="s">
        <v>26</v>
      </c>
      <c r="D143" t="s">
        <v>38</v>
      </c>
      <c r="E143" t="s">
        <v>5</v>
      </c>
      <c r="F143" t="s">
        <v>41</v>
      </c>
      <c r="G143">
        <v>526.47</v>
      </c>
      <c r="H143">
        <v>8</v>
      </c>
      <c r="I143">
        <v>112.04</v>
      </c>
    </row>
    <row r="144" spans="1:9" x14ac:dyDescent="0.35">
      <c r="A144" t="s">
        <v>196</v>
      </c>
      <c r="B144" t="s">
        <v>192</v>
      </c>
      <c r="C144" t="s">
        <v>22</v>
      </c>
      <c r="D144" t="s">
        <v>38</v>
      </c>
      <c r="E144" t="s">
        <v>3</v>
      </c>
      <c r="F144" t="s">
        <v>18</v>
      </c>
      <c r="G144">
        <v>54.56</v>
      </c>
      <c r="H144">
        <v>1</v>
      </c>
      <c r="I144">
        <v>-10.79</v>
      </c>
    </row>
    <row r="145" spans="1:9" x14ac:dyDescent="0.35">
      <c r="A145" t="s">
        <v>197</v>
      </c>
      <c r="B145" t="s">
        <v>192</v>
      </c>
      <c r="C145" t="s">
        <v>22</v>
      </c>
      <c r="D145" t="s">
        <v>17</v>
      </c>
      <c r="E145" t="s">
        <v>3</v>
      </c>
      <c r="F145" t="s">
        <v>18</v>
      </c>
      <c r="G145">
        <v>222.97</v>
      </c>
      <c r="H145">
        <v>4</v>
      </c>
      <c r="I145">
        <v>-5.4</v>
      </c>
    </row>
    <row r="146" spans="1:9" x14ac:dyDescent="0.35">
      <c r="A146" t="s">
        <v>198</v>
      </c>
      <c r="B146" t="s">
        <v>199</v>
      </c>
      <c r="C146" t="s">
        <v>22</v>
      </c>
      <c r="D146" t="s">
        <v>17</v>
      </c>
      <c r="E146" t="s">
        <v>5</v>
      </c>
      <c r="F146" t="s">
        <v>29</v>
      </c>
      <c r="G146">
        <v>138.66999999999999</v>
      </c>
      <c r="H146">
        <v>1</v>
      </c>
      <c r="I146">
        <v>60.91</v>
      </c>
    </row>
    <row r="147" spans="1:9" x14ac:dyDescent="0.35">
      <c r="A147" t="s">
        <v>200</v>
      </c>
      <c r="B147" t="s">
        <v>199</v>
      </c>
      <c r="C147" t="s">
        <v>26</v>
      </c>
      <c r="D147" t="s">
        <v>17</v>
      </c>
      <c r="E147" t="s">
        <v>5</v>
      </c>
      <c r="F147" t="s">
        <v>41</v>
      </c>
      <c r="G147">
        <v>343.75</v>
      </c>
      <c r="H147">
        <v>1</v>
      </c>
      <c r="I147">
        <v>55.56</v>
      </c>
    </row>
    <row r="148" spans="1:9" x14ac:dyDescent="0.35">
      <c r="A148" t="s">
        <v>201</v>
      </c>
      <c r="B148" t="s">
        <v>199</v>
      </c>
      <c r="C148" t="s">
        <v>26</v>
      </c>
      <c r="D148" t="s">
        <v>17</v>
      </c>
      <c r="E148" t="s">
        <v>4</v>
      </c>
      <c r="F148" t="s">
        <v>24</v>
      </c>
      <c r="G148">
        <v>141.11000000000001</v>
      </c>
      <c r="H148">
        <v>8</v>
      </c>
      <c r="I148">
        <v>10.26</v>
      </c>
    </row>
    <row r="149" spans="1:9" x14ac:dyDescent="0.35">
      <c r="A149" t="s">
        <v>202</v>
      </c>
      <c r="B149" t="s">
        <v>199</v>
      </c>
      <c r="C149" t="s">
        <v>26</v>
      </c>
      <c r="D149" t="s">
        <v>17</v>
      </c>
      <c r="E149" t="s">
        <v>3</v>
      </c>
      <c r="F149" t="s">
        <v>18</v>
      </c>
      <c r="G149">
        <v>134.72</v>
      </c>
      <c r="H149">
        <v>7</v>
      </c>
      <c r="I149">
        <v>-18.47</v>
      </c>
    </row>
    <row r="150" spans="1:9" x14ac:dyDescent="0.35">
      <c r="A150" t="s">
        <v>203</v>
      </c>
      <c r="B150" t="s">
        <v>199</v>
      </c>
      <c r="C150" t="s">
        <v>22</v>
      </c>
      <c r="D150" t="s">
        <v>17</v>
      </c>
      <c r="E150" t="s">
        <v>5</v>
      </c>
      <c r="F150" t="s">
        <v>31</v>
      </c>
      <c r="G150">
        <v>52.62</v>
      </c>
      <c r="H150">
        <v>1</v>
      </c>
      <c r="I150">
        <v>16.97</v>
      </c>
    </row>
    <row r="151" spans="1:9" x14ac:dyDescent="0.35">
      <c r="A151" t="s">
        <v>204</v>
      </c>
      <c r="B151" t="s">
        <v>199</v>
      </c>
      <c r="C151" t="s">
        <v>26</v>
      </c>
      <c r="D151" t="s">
        <v>23</v>
      </c>
      <c r="E151" t="s">
        <v>5</v>
      </c>
      <c r="F151" t="s">
        <v>31</v>
      </c>
      <c r="G151">
        <v>47.27</v>
      </c>
      <c r="H151">
        <v>2</v>
      </c>
      <c r="I151">
        <v>13.94</v>
      </c>
    </row>
    <row r="152" spans="1:9" x14ac:dyDescent="0.35">
      <c r="A152" t="s">
        <v>205</v>
      </c>
      <c r="B152" t="s">
        <v>206</v>
      </c>
      <c r="C152" t="s">
        <v>22</v>
      </c>
      <c r="D152" t="s">
        <v>23</v>
      </c>
      <c r="E152" t="s">
        <v>4</v>
      </c>
      <c r="F152" t="s">
        <v>39</v>
      </c>
      <c r="G152">
        <v>392.42</v>
      </c>
      <c r="H152">
        <v>4</v>
      </c>
      <c r="I152">
        <v>52.64</v>
      </c>
    </row>
    <row r="153" spans="1:9" x14ac:dyDescent="0.35">
      <c r="A153" t="s">
        <v>207</v>
      </c>
      <c r="B153" t="s">
        <v>206</v>
      </c>
      <c r="C153" t="s">
        <v>34</v>
      </c>
      <c r="D153" t="s">
        <v>17</v>
      </c>
      <c r="E153" t="s">
        <v>5</v>
      </c>
      <c r="F153" t="s">
        <v>31</v>
      </c>
      <c r="G153">
        <v>79.59</v>
      </c>
      <c r="H153">
        <v>1</v>
      </c>
      <c r="I153">
        <v>12.59</v>
      </c>
    </row>
    <row r="154" spans="1:9" x14ac:dyDescent="0.35">
      <c r="A154" t="s">
        <v>208</v>
      </c>
      <c r="B154" t="s">
        <v>206</v>
      </c>
      <c r="C154" t="s">
        <v>22</v>
      </c>
      <c r="D154" t="s">
        <v>23</v>
      </c>
      <c r="E154" t="s">
        <v>5</v>
      </c>
      <c r="F154" t="s">
        <v>31</v>
      </c>
      <c r="G154">
        <v>89.8</v>
      </c>
      <c r="H154">
        <v>3</v>
      </c>
      <c r="I154">
        <v>23.28</v>
      </c>
    </row>
    <row r="155" spans="1:9" x14ac:dyDescent="0.35">
      <c r="A155" t="s">
        <v>209</v>
      </c>
      <c r="B155" t="s">
        <v>206</v>
      </c>
      <c r="C155" t="s">
        <v>16</v>
      </c>
      <c r="D155" t="s">
        <v>17</v>
      </c>
      <c r="E155" t="s">
        <v>3</v>
      </c>
      <c r="F155" t="s">
        <v>49</v>
      </c>
      <c r="G155">
        <v>233.96</v>
      </c>
      <c r="H155">
        <v>8</v>
      </c>
      <c r="I155">
        <v>-48.3</v>
      </c>
    </row>
    <row r="156" spans="1:9" x14ac:dyDescent="0.35">
      <c r="A156" t="s">
        <v>210</v>
      </c>
      <c r="B156" t="s">
        <v>206</v>
      </c>
      <c r="C156" t="s">
        <v>26</v>
      </c>
      <c r="D156" t="s">
        <v>17</v>
      </c>
      <c r="E156" t="s">
        <v>4</v>
      </c>
      <c r="F156" t="s">
        <v>20</v>
      </c>
      <c r="G156">
        <v>82.06</v>
      </c>
      <c r="H156">
        <v>8</v>
      </c>
      <c r="I156">
        <v>13.49</v>
      </c>
    </row>
    <row r="157" spans="1:9" x14ac:dyDescent="0.35">
      <c r="A157" t="s">
        <v>211</v>
      </c>
      <c r="B157" t="s">
        <v>206</v>
      </c>
      <c r="C157" t="s">
        <v>26</v>
      </c>
      <c r="D157" t="s">
        <v>23</v>
      </c>
      <c r="E157" t="s">
        <v>5</v>
      </c>
      <c r="F157" t="s">
        <v>31</v>
      </c>
      <c r="G157">
        <v>475.68</v>
      </c>
      <c r="H157">
        <v>8</v>
      </c>
      <c r="I157">
        <v>160.38</v>
      </c>
    </row>
    <row r="158" spans="1:9" x14ac:dyDescent="0.35">
      <c r="A158" t="s">
        <v>212</v>
      </c>
      <c r="B158" t="s">
        <v>213</v>
      </c>
      <c r="C158" t="s">
        <v>16</v>
      </c>
      <c r="D158" t="s">
        <v>23</v>
      </c>
      <c r="E158" t="s">
        <v>4</v>
      </c>
      <c r="F158" t="s">
        <v>39</v>
      </c>
      <c r="G158">
        <v>220.87</v>
      </c>
      <c r="H158">
        <v>6</v>
      </c>
      <c r="I158">
        <v>5.5</v>
      </c>
    </row>
    <row r="159" spans="1:9" x14ac:dyDescent="0.35">
      <c r="A159" t="s">
        <v>214</v>
      </c>
      <c r="B159" t="s">
        <v>213</v>
      </c>
      <c r="C159" t="s">
        <v>22</v>
      </c>
      <c r="D159" t="s">
        <v>23</v>
      </c>
      <c r="E159" t="s">
        <v>4</v>
      </c>
      <c r="F159" t="s">
        <v>24</v>
      </c>
      <c r="G159">
        <v>156.47999999999999</v>
      </c>
      <c r="H159">
        <v>6</v>
      </c>
      <c r="I159">
        <v>-0.51</v>
      </c>
    </row>
    <row r="160" spans="1:9" x14ac:dyDescent="0.35">
      <c r="A160" t="s">
        <v>215</v>
      </c>
      <c r="B160" t="s">
        <v>213</v>
      </c>
      <c r="C160" t="s">
        <v>34</v>
      </c>
      <c r="D160" t="s">
        <v>17</v>
      </c>
      <c r="E160" t="s">
        <v>5</v>
      </c>
      <c r="F160" t="s">
        <v>31</v>
      </c>
      <c r="G160">
        <v>339.16</v>
      </c>
      <c r="H160">
        <v>5</v>
      </c>
      <c r="I160">
        <v>138.36000000000001</v>
      </c>
    </row>
    <row r="161" spans="1:9" x14ac:dyDescent="0.35">
      <c r="A161" t="s">
        <v>216</v>
      </c>
      <c r="B161" t="s">
        <v>213</v>
      </c>
      <c r="C161" t="s">
        <v>16</v>
      </c>
      <c r="D161" t="s">
        <v>38</v>
      </c>
      <c r="E161" t="s">
        <v>4</v>
      </c>
      <c r="F161" t="s">
        <v>20</v>
      </c>
      <c r="G161">
        <v>27.63</v>
      </c>
      <c r="H161">
        <v>9</v>
      </c>
      <c r="I161">
        <v>2.4500000000000002</v>
      </c>
    </row>
    <row r="162" spans="1:9" x14ac:dyDescent="0.35">
      <c r="A162" t="s">
        <v>217</v>
      </c>
      <c r="B162" t="s">
        <v>213</v>
      </c>
      <c r="C162" t="s">
        <v>16</v>
      </c>
      <c r="D162" t="s">
        <v>23</v>
      </c>
      <c r="E162" t="s">
        <v>3</v>
      </c>
      <c r="F162" t="s">
        <v>27</v>
      </c>
      <c r="G162">
        <v>64.569999999999993</v>
      </c>
      <c r="H162">
        <v>4</v>
      </c>
      <c r="I162">
        <v>4.1100000000000003</v>
      </c>
    </row>
    <row r="163" spans="1:9" x14ac:dyDescent="0.35">
      <c r="A163" t="s">
        <v>218</v>
      </c>
      <c r="B163" t="s">
        <v>213</v>
      </c>
      <c r="C163" t="s">
        <v>22</v>
      </c>
      <c r="D163" t="s">
        <v>23</v>
      </c>
      <c r="E163" t="s">
        <v>4</v>
      </c>
      <c r="F163" t="s">
        <v>39</v>
      </c>
      <c r="G163">
        <v>113.83</v>
      </c>
      <c r="H163">
        <v>7</v>
      </c>
      <c r="I163">
        <v>15.32</v>
      </c>
    </row>
    <row r="164" spans="1:9" x14ac:dyDescent="0.35">
      <c r="A164" t="s">
        <v>219</v>
      </c>
      <c r="B164" t="s">
        <v>220</v>
      </c>
      <c r="C164" t="s">
        <v>26</v>
      </c>
      <c r="D164" t="s">
        <v>23</v>
      </c>
      <c r="E164" t="s">
        <v>4</v>
      </c>
      <c r="F164" t="s">
        <v>24</v>
      </c>
      <c r="G164">
        <v>58.62</v>
      </c>
      <c r="H164">
        <v>1</v>
      </c>
      <c r="I164">
        <v>7.84</v>
      </c>
    </row>
    <row r="165" spans="1:9" x14ac:dyDescent="0.35">
      <c r="A165" t="s">
        <v>221</v>
      </c>
      <c r="B165" t="s">
        <v>220</v>
      </c>
      <c r="C165" t="s">
        <v>22</v>
      </c>
      <c r="D165" t="s">
        <v>38</v>
      </c>
      <c r="E165" t="s">
        <v>3</v>
      </c>
      <c r="F165" t="s">
        <v>18</v>
      </c>
      <c r="G165">
        <v>224.33</v>
      </c>
      <c r="H165">
        <v>9</v>
      </c>
      <c r="I165">
        <v>-1.38</v>
      </c>
    </row>
    <row r="166" spans="1:9" x14ac:dyDescent="0.35">
      <c r="A166" t="s">
        <v>222</v>
      </c>
      <c r="B166" t="s">
        <v>220</v>
      </c>
      <c r="C166" t="s">
        <v>16</v>
      </c>
      <c r="D166" t="s">
        <v>23</v>
      </c>
      <c r="E166" t="s">
        <v>5</v>
      </c>
      <c r="F166" t="s">
        <v>29</v>
      </c>
      <c r="G166">
        <v>397.38</v>
      </c>
      <c r="H166">
        <v>7</v>
      </c>
      <c r="I166">
        <v>64.22</v>
      </c>
    </row>
    <row r="167" spans="1:9" x14ac:dyDescent="0.35">
      <c r="A167" t="s">
        <v>223</v>
      </c>
      <c r="B167" t="s">
        <v>220</v>
      </c>
      <c r="C167" t="s">
        <v>16</v>
      </c>
      <c r="D167" t="s">
        <v>23</v>
      </c>
      <c r="E167" t="s">
        <v>4</v>
      </c>
      <c r="F167" t="s">
        <v>39</v>
      </c>
      <c r="G167">
        <v>102.69</v>
      </c>
      <c r="H167">
        <v>9</v>
      </c>
      <c r="I167">
        <v>16.760000000000002</v>
      </c>
    </row>
    <row r="168" spans="1:9" x14ac:dyDescent="0.35">
      <c r="A168" t="s">
        <v>224</v>
      </c>
      <c r="B168" t="s">
        <v>220</v>
      </c>
      <c r="C168" t="s">
        <v>26</v>
      </c>
      <c r="D168" t="s">
        <v>38</v>
      </c>
      <c r="E168" t="s">
        <v>3</v>
      </c>
      <c r="F168" t="s">
        <v>18</v>
      </c>
      <c r="G168">
        <v>82.81</v>
      </c>
      <c r="H168">
        <v>7</v>
      </c>
      <c r="I168">
        <v>-7.3</v>
      </c>
    </row>
    <row r="169" spans="1:9" x14ac:dyDescent="0.35">
      <c r="A169" t="s">
        <v>225</v>
      </c>
      <c r="B169" t="s">
        <v>220</v>
      </c>
      <c r="C169" t="s">
        <v>26</v>
      </c>
      <c r="D169" t="s">
        <v>23</v>
      </c>
      <c r="E169" t="s">
        <v>5</v>
      </c>
      <c r="F169" t="s">
        <v>31</v>
      </c>
      <c r="G169">
        <v>508.76</v>
      </c>
      <c r="H169">
        <v>2</v>
      </c>
      <c r="I169">
        <v>60.01</v>
      </c>
    </row>
    <row r="170" spans="1:9" x14ac:dyDescent="0.35">
      <c r="A170" t="s">
        <v>226</v>
      </c>
      <c r="B170" t="s">
        <v>227</v>
      </c>
      <c r="C170" t="s">
        <v>26</v>
      </c>
      <c r="D170" t="s">
        <v>17</v>
      </c>
      <c r="E170" t="s">
        <v>5</v>
      </c>
      <c r="F170" t="s">
        <v>29</v>
      </c>
      <c r="G170">
        <v>108.28</v>
      </c>
      <c r="H170">
        <v>6</v>
      </c>
      <c r="I170">
        <v>30.72</v>
      </c>
    </row>
    <row r="171" spans="1:9" x14ac:dyDescent="0.35">
      <c r="A171" t="s">
        <v>228</v>
      </c>
      <c r="B171" t="s">
        <v>227</v>
      </c>
      <c r="C171" t="s">
        <v>22</v>
      </c>
      <c r="D171" t="s">
        <v>23</v>
      </c>
      <c r="E171" t="s">
        <v>3</v>
      </c>
      <c r="F171" t="s">
        <v>49</v>
      </c>
      <c r="G171">
        <v>120.72</v>
      </c>
      <c r="H171">
        <v>4</v>
      </c>
      <c r="I171">
        <v>-9.2100000000000009</v>
      </c>
    </row>
    <row r="172" spans="1:9" x14ac:dyDescent="0.35">
      <c r="A172" t="s">
        <v>229</v>
      </c>
      <c r="B172" t="s">
        <v>227</v>
      </c>
      <c r="C172" t="s">
        <v>26</v>
      </c>
      <c r="D172" t="s">
        <v>17</v>
      </c>
      <c r="E172" t="s">
        <v>4</v>
      </c>
      <c r="F172" t="s">
        <v>20</v>
      </c>
      <c r="G172">
        <v>85</v>
      </c>
      <c r="H172">
        <v>3</v>
      </c>
      <c r="I172">
        <v>11.42</v>
      </c>
    </row>
    <row r="173" spans="1:9" x14ac:dyDescent="0.35">
      <c r="A173" t="s">
        <v>230</v>
      </c>
      <c r="B173" t="s">
        <v>227</v>
      </c>
      <c r="C173" t="s">
        <v>16</v>
      </c>
      <c r="D173" t="s">
        <v>17</v>
      </c>
      <c r="E173" t="s">
        <v>5</v>
      </c>
      <c r="F173" t="s">
        <v>29</v>
      </c>
      <c r="G173">
        <v>380.44</v>
      </c>
      <c r="H173">
        <v>2</v>
      </c>
      <c r="I173">
        <v>49.07</v>
      </c>
    </row>
    <row r="174" spans="1:9" x14ac:dyDescent="0.35">
      <c r="A174" t="s">
        <v>231</v>
      </c>
      <c r="B174" t="s">
        <v>227</v>
      </c>
      <c r="C174" t="s">
        <v>16</v>
      </c>
      <c r="D174" t="s">
        <v>23</v>
      </c>
      <c r="E174" t="s">
        <v>3</v>
      </c>
      <c r="F174" t="s">
        <v>18</v>
      </c>
      <c r="G174">
        <v>146.22999999999999</v>
      </c>
      <c r="H174">
        <v>6</v>
      </c>
      <c r="I174">
        <v>15.96</v>
      </c>
    </row>
    <row r="175" spans="1:9" x14ac:dyDescent="0.35">
      <c r="A175" t="s">
        <v>232</v>
      </c>
      <c r="B175" t="s">
        <v>227</v>
      </c>
      <c r="C175" t="s">
        <v>34</v>
      </c>
      <c r="D175" t="s">
        <v>38</v>
      </c>
      <c r="E175" t="s">
        <v>5</v>
      </c>
      <c r="F175" t="s">
        <v>41</v>
      </c>
      <c r="G175">
        <v>235.43</v>
      </c>
      <c r="H175">
        <v>8</v>
      </c>
      <c r="I175">
        <v>79.5</v>
      </c>
    </row>
    <row r="176" spans="1:9" x14ac:dyDescent="0.35">
      <c r="A176" t="s">
        <v>233</v>
      </c>
      <c r="B176" t="s">
        <v>234</v>
      </c>
      <c r="C176" t="s">
        <v>22</v>
      </c>
      <c r="D176" t="s">
        <v>38</v>
      </c>
      <c r="E176" t="s">
        <v>4</v>
      </c>
      <c r="F176" t="s">
        <v>20</v>
      </c>
      <c r="G176">
        <v>270.54000000000002</v>
      </c>
      <c r="H176">
        <v>6</v>
      </c>
      <c r="I176">
        <v>66.67</v>
      </c>
    </row>
    <row r="177" spans="1:9" x14ac:dyDescent="0.35">
      <c r="A177" t="s">
        <v>235</v>
      </c>
      <c r="B177" t="s">
        <v>234</v>
      </c>
      <c r="C177" t="s">
        <v>34</v>
      </c>
      <c r="D177" t="s">
        <v>17</v>
      </c>
      <c r="E177" t="s">
        <v>5</v>
      </c>
      <c r="F177" t="s">
        <v>29</v>
      </c>
      <c r="G177">
        <v>82.75</v>
      </c>
      <c r="H177">
        <v>9</v>
      </c>
      <c r="I177">
        <v>18.16</v>
      </c>
    </row>
    <row r="178" spans="1:9" x14ac:dyDescent="0.35">
      <c r="A178" t="s">
        <v>236</v>
      </c>
      <c r="B178" t="s">
        <v>234</v>
      </c>
      <c r="C178" t="s">
        <v>16</v>
      </c>
      <c r="D178" t="s">
        <v>23</v>
      </c>
      <c r="E178" t="s">
        <v>4</v>
      </c>
      <c r="F178" t="s">
        <v>24</v>
      </c>
      <c r="G178">
        <v>105.29</v>
      </c>
      <c r="H178">
        <v>5</v>
      </c>
      <c r="I178">
        <v>-2.41</v>
      </c>
    </row>
    <row r="179" spans="1:9" x14ac:dyDescent="0.35">
      <c r="A179" t="s">
        <v>237</v>
      </c>
      <c r="B179" t="s">
        <v>234</v>
      </c>
      <c r="C179" t="s">
        <v>34</v>
      </c>
      <c r="D179" t="s">
        <v>17</v>
      </c>
      <c r="E179" t="s">
        <v>3</v>
      </c>
      <c r="F179" t="s">
        <v>49</v>
      </c>
      <c r="G179">
        <v>303.05</v>
      </c>
      <c r="H179">
        <v>2</v>
      </c>
      <c r="I179">
        <v>44.03</v>
      </c>
    </row>
    <row r="180" spans="1:9" x14ac:dyDescent="0.35">
      <c r="A180" t="s">
        <v>238</v>
      </c>
      <c r="B180" t="s">
        <v>234</v>
      </c>
      <c r="C180" t="s">
        <v>16</v>
      </c>
      <c r="D180" t="s">
        <v>38</v>
      </c>
      <c r="E180" t="s">
        <v>4</v>
      </c>
      <c r="F180" t="s">
        <v>20</v>
      </c>
      <c r="G180">
        <v>87.71</v>
      </c>
      <c r="H180">
        <v>8</v>
      </c>
      <c r="I180">
        <v>12.62</v>
      </c>
    </row>
    <row r="181" spans="1:9" x14ac:dyDescent="0.35">
      <c r="A181" t="s">
        <v>239</v>
      </c>
      <c r="B181" t="s">
        <v>234</v>
      </c>
      <c r="C181" t="s">
        <v>34</v>
      </c>
      <c r="D181" t="s">
        <v>38</v>
      </c>
      <c r="E181" t="s">
        <v>5</v>
      </c>
      <c r="F181" t="s">
        <v>41</v>
      </c>
      <c r="G181">
        <v>256.93</v>
      </c>
      <c r="H181">
        <v>9</v>
      </c>
      <c r="I181">
        <v>44.99</v>
      </c>
    </row>
    <row r="182" spans="1:9" x14ac:dyDescent="0.35">
      <c r="A182" t="s">
        <v>240</v>
      </c>
      <c r="B182" t="s">
        <v>241</v>
      </c>
      <c r="C182" t="s">
        <v>26</v>
      </c>
      <c r="D182" t="s">
        <v>23</v>
      </c>
      <c r="E182" t="s">
        <v>3</v>
      </c>
      <c r="F182" t="s">
        <v>18</v>
      </c>
      <c r="G182">
        <v>444.51</v>
      </c>
      <c r="H182">
        <v>4</v>
      </c>
      <c r="I182">
        <v>-3.7</v>
      </c>
    </row>
    <row r="183" spans="1:9" x14ac:dyDescent="0.35">
      <c r="A183" t="s">
        <v>242</v>
      </c>
      <c r="B183" t="s">
        <v>241</v>
      </c>
      <c r="C183" t="s">
        <v>34</v>
      </c>
      <c r="D183" t="s">
        <v>38</v>
      </c>
      <c r="E183" t="s">
        <v>5</v>
      </c>
      <c r="F183" t="s">
        <v>29</v>
      </c>
      <c r="G183">
        <v>166.41</v>
      </c>
      <c r="H183">
        <v>6</v>
      </c>
      <c r="I183">
        <v>61.02</v>
      </c>
    </row>
    <row r="184" spans="1:9" x14ac:dyDescent="0.35">
      <c r="A184" t="s">
        <v>243</v>
      </c>
      <c r="B184" t="s">
        <v>241</v>
      </c>
      <c r="C184" t="s">
        <v>26</v>
      </c>
      <c r="D184" t="s">
        <v>23</v>
      </c>
      <c r="E184" t="s">
        <v>4</v>
      </c>
      <c r="F184" t="s">
        <v>20</v>
      </c>
      <c r="G184">
        <v>223</v>
      </c>
      <c r="H184">
        <v>8</v>
      </c>
      <c r="I184">
        <v>32.94</v>
      </c>
    </row>
    <row r="185" spans="1:9" x14ac:dyDescent="0.35">
      <c r="A185" t="s">
        <v>244</v>
      </c>
      <c r="B185" t="s">
        <v>241</v>
      </c>
      <c r="C185" t="s">
        <v>26</v>
      </c>
      <c r="D185" t="s">
        <v>23</v>
      </c>
      <c r="E185" t="s">
        <v>4</v>
      </c>
      <c r="F185" t="s">
        <v>24</v>
      </c>
      <c r="G185">
        <v>265.29000000000002</v>
      </c>
      <c r="H185">
        <v>9</v>
      </c>
      <c r="I185">
        <v>73.709999999999994</v>
      </c>
    </row>
    <row r="186" spans="1:9" x14ac:dyDescent="0.35">
      <c r="A186" t="s">
        <v>245</v>
      </c>
      <c r="B186" t="s">
        <v>241</v>
      </c>
      <c r="C186" t="s">
        <v>22</v>
      </c>
      <c r="D186" t="s">
        <v>17</v>
      </c>
      <c r="E186" t="s">
        <v>5</v>
      </c>
      <c r="F186" t="s">
        <v>31</v>
      </c>
      <c r="G186">
        <v>299.69</v>
      </c>
      <c r="H186">
        <v>5</v>
      </c>
      <c r="I186">
        <v>107.38</v>
      </c>
    </row>
    <row r="187" spans="1:9" x14ac:dyDescent="0.35">
      <c r="A187" t="s">
        <v>246</v>
      </c>
      <c r="B187" t="s">
        <v>241</v>
      </c>
      <c r="C187" t="s">
        <v>26</v>
      </c>
      <c r="D187" t="s">
        <v>17</v>
      </c>
      <c r="E187" t="s">
        <v>4</v>
      </c>
      <c r="F187" t="s">
        <v>24</v>
      </c>
      <c r="G187">
        <v>95.39</v>
      </c>
      <c r="H187">
        <v>6</v>
      </c>
      <c r="I187">
        <v>4.04</v>
      </c>
    </row>
    <row r="188" spans="1:9" x14ac:dyDescent="0.35">
      <c r="A188" t="s">
        <v>247</v>
      </c>
      <c r="B188" t="s">
        <v>248</v>
      </c>
      <c r="C188" t="s">
        <v>26</v>
      </c>
      <c r="D188" t="s">
        <v>23</v>
      </c>
      <c r="E188" t="s">
        <v>4</v>
      </c>
      <c r="F188" t="s">
        <v>39</v>
      </c>
      <c r="G188">
        <v>27.89</v>
      </c>
      <c r="H188">
        <v>4</v>
      </c>
      <c r="I188">
        <v>2.2999999999999998</v>
      </c>
    </row>
    <row r="189" spans="1:9" x14ac:dyDescent="0.35">
      <c r="A189" t="s">
        <v>249</v>
      </c>
      <c r="B189" t="s">
        <v>248</v>
      </c>
      <c r="C189" t="s">
        <v>34</v>
      </c>
      <c r="D189" t="s">
        <v>23</v>
      </c>
      <c r="E189" t="s">
        <v>3</v>
      </c>
      <c r="F189" t="s">
        <v>49</v>
      </c>
      <c r="G189">
        <v>97.09</v>
      </c>
      <c r="H189">
        <v>5</v>
      </c>
      <c r="I189">
        <v>4.4400000000000004</v>
      </c>
    </row>
    <row r="190" spans="1:9" x14ac:dyDescent="0.35">
      <c r="A190" t="s">
        <v>250</v>
      </c>
      <c r="B190" t="s">
        <v>248</v>
      </c>
      <c r="C190" t="s">
        <v>16</v>
      </c>
      <c r="D190" t="s">
        <v>17</v>
      </c>
      <c r="E190" t="s">
        <v>3</v>
      </c>
      <c r="F190" t="s">
        <v>27</v>
      </c>
      <c r="G190">
        <v>188.02</v>
      </c>
      <c r="H190">
        <v>7</v>
      </c>
      <c r="I190">
        <v>-60.4</v>
      </c>
    </row>
    <row r="191" spans="1:9" x14ac:dyDescent="0.35">
      <c r="A191" t="s">
        <v>251</v>
      </c>
      <c r="B191" t="s">
        <v>248</v>
      </c>
      <c r="C191" t="s">
        <v>22</v>
      </c>
      <c r="D191" t="s">
        <v>38</v>
      </c>
      <c r="E191" t="s">
        <v>5</v>
      </c>
      <c r="F191" t="s">
        <v>41</v>
      </c>
      <c r="G191">
        <v>109.77</v>
      </c>
      <c r="H191">
        <v>9</v>
      </c>
      <c r="I191">
        <v>25.8</v>
      </c>
    </row>
    <row r="192" spans="1:9" x14ac:dyDescent="0.35">
      <c r="A192" t="s">
        <v>252</v>
      </c>
      <c r="B192" t="s">
        <v>248</v>
      </c>
      <c r="C192" t="s">
        <v>26</v>
      </c>
      <c r="D192" t="s">
        <v>17</v>
      </c>
      <c r="E192" t="s">
        <v>5</v>
      </c>
      <c r="F192" t="s">
        <v>29</v>
      </c>
      <c r="G192">
        <v>227.32</v>
      </c>
      <c r="H192">
        <v>6</v>
      </c>
      <c r="I192">
        <v>24.3</v>
      </c>
    </row>
    <row r="193" spans="1:9" x14ac:dyDescent="0.35">
      <c r="A193" t="s">
        <v>253</v>
      </c>
      <c r="B193" t="s">
        <v>248</v>
      </c>
      <c r="C193" t="s">
        <v>22</v>
      </c>
      <c r="D193" t="s">
        <v>23</v>
      </c>
      <c r="E193" t="s">
        <v>4</v>
      </c>
      <c r="F193" t="s">
        <v>20</v>
      </c>
      <c r="G193">
        <v>86.24</v>
      </c>
      <c r="H193">
        <v>6</v>
      </c>
      <c r="I193">
        <v>8.83</v>
      </c>
    </row>
    <row r="194" spans="1:9" x14ac:dyDescent="0.35">
      <c r="A194" t="s">
        <v>254</v>
      </c>
      <c r="B194" t="s">
        <v>255</v>
      </c>
      <c r="C194" t="s">
        <v>34</v>
      </c>
      <c r="D194" t="s">
        <v>23</v>
      </c>
      <c r="E194" t="s">
        <v>4</v>
      </c>
      <c r="F194" t="s">
        <v>20</v>
      </c>
      <c r="G194">
        <v>171.07</v>
      </c>
      <c r="H194">
        <v>8</v>
      </c>
      <c r="I194">
        <v>20.55</v>
      </c>
    </row>
    <row r="195" spans="1:9" x14ac:dyDescent="0.35">
      <c r="A195" t="s">
        <v>256</v>
      </c>
      <c r="B195" t="s">
        <v>255</v>
      </c>
      <c r="C195" t="s">
        <v>26</v>
      </c>
      <c r="D195" t="s">
        <v>23</v>
      </c>
      <c r="E195" t="s">
        <v>4</v>
      </c>
      <c r="F195" t="s">
        <v>24</v>
      </c>
      <c r="G195">
        <v>50.95</v>
      </c>
      <c r="H195">
        <v>4</v>
      </c>
      <c r="I195">
        <v>5.82</v>
      </c>
    </row>
    <row r="196" spans="1:9" x14ac:dyDescent="0.35">
      <c r="A196" t="s">
        <v>257</v>
      </c>
      <c r="B196" t="s">
        <v>255</v>
      </c>
      <c r="C196" t="s">
        <v>34</v>
      </c>
      <c r="D196" t="s">
        <v>23</v>
      </c>
      <c r="E196" t="s">
        <v>3</v>
      </c>
      <c r="F196" t="s">
        <v>49</v>
      </c>
      <c r="G196">
        <v>227.57</v>
      </c>
      <c r="H196">
        <v>3</v>
      </c>
      <c r="I196">
        <v>-23.95</v>
      </c>
    </row>
    <row r="197" spans="1:9" x14ac:dyDescent="0.35">
      <c r="A197" t="s">
        <v>258</v>
      </c>
      <c r="B197" t="s">
        <v>255</v>
      </c>
      <c r="C197" t="s">
        <v>22</v>
      </c>
      <c r="D197" t="s">
        <v>17</v>
      </c>
      <c r="E197" t="s">
        <v>3</v>
      </c>
      <c r="F197" t="s">
        <v>27</v>
      </c>
      <c r="G197">
        <v>138.35</v>
      </c>
      <c r="H197">
        <v>7</v>
      </c>
      <c r="I197">
        <v>-22.1</v>
      </c>
    </row>
    <row r="198" spans="1:9" x14ac:dyDescent="0.35">
      <c r="A198" t="s">
        <v>259</v>
      </c>
      <c r="B198" t="s">
        <v>255</v>
      </c>
      <c r="C198" t="s">
        <v>34</v>
      </c>
      <c r="D198" t="s">
        <v>17</v>
      </c>
      <c r="E198" t="s">
        <v>4</v>
      </c>
      <c r="F198" t="s">
        <v>39</v>
      </c>
      <c r="G198">
        <v>54.24</v>
      </c>
      <c r="H198">
        <v>5</v>
      </c>
      <c r="I198">
        <v>20.57</v>
      </c>
    </row>
    <row r="199" spans="1:9" x14ac:dyDescent="0.35">
      <c r="A199" t="s">
        <v>260</v>
      </c>
      <c r="B199" t="s">
        <v>255</v>
      </c>
      <c r="C199" t="s">
        <v>22</v>
      </c>
      <c r="D199" t="s">
        <v>23</v>
      </c>
      <c r="E199" t="s">
        <v>4</v>
      </c>
      <c r="F199" t="s">
        <v>20</v>
      </c>
      <c r="G199">
        <v>71.78</v>
      </c>
      <c r="H199">
        <v>2</v>
      </c>
      <c r="I199">
        <v>24.17</v>
      </c>
    </row>
    <row r="200" spans="1:9" x14ac:dyDescent="0.35">
      <c r="A200" t="s">
        <v>261</v>
      </c>
      <c r="B200" t="s">
        <v>262</v>
      </c>
      <c r="C200" t="s">
        <v>34</v>
      </c>
      <c r="D200" t="s">
        <v>23</v>
      </c>
      <c r="E200" t="s">
        <v>4</v>
      </c>
      <c r="F200" t="s">
        <v>24</v>
      </c>
      <c r="G200">
        <v>227.11</v>
      </c>
      <c r="H200">
        <v>2</v>
      </c>
      <c r="I200">
        <v>7.67</v>
      </c>
    </row>
    <row r="201" spans="1:9" x14ac:dyDescent="0.35">
      <c r="A201" t="s">
        <v>263</v>
      </c>
      <c r="B201" t="s">
        <v>262</v>
      </c>
      <c r="C201" t="s">
        <v>22</v>
      </c>
      <c r="D201" t="s">
        <v>17</v>
      </c>
      <c r="E201" t="s">
        <v>4</v>
      </c>
      <c r="F201" t="s">
        <v>39</v>
      </c>
      <c r="G201">
        <v>118.84</v>
      </c>
      <c r="H201">
        <v>6</v>
      </c>
      <c r="I201">
        <v>36.630000000000003</v>
      </c>
    </row>
    <row r="202" spans="1:9" x14ac:dyDescent="0.35">
      <c r="A202" t="s">
        <v>264</v>
      </c>
      <c r="B202" t="s">
        <v>262</v>
      </c>
      <c r="C202" t="s">
        <v>16</v>
      </c>
      <c r="D202" t="s">
        <v>23</v>
      </c>
      <c r="E202" t="s">
        <v>4</v>
      </c>
      <c r="F202" t="s">
        <v>39</v>
      </c>
      <c r="G202">
        <v>56.51</v>
      </c>
      <c r="H202">
        <v>8</v>
      </c>
      <c r="I202">
        <v>6.22</v>
      </c>
    </row>
    <row r="203" spans="1:9" x14ac:dyDescent="0.35">
      <c r="A203" t="s">
        <v>265</v>
      </c>
      <c r="B203" t="s">
        <v>262</v>
      </c>
      <c r="C203" t="s">
        <v>34</v>
      </c>
      <c r="D203" t="s">
        <v>17</v>
      </c>
      <c r="E203" t="s">
        <v>5</v>
      </c>
      <c r="F203" t="s">
        <v>29</v>
      </c>
      <c r="G203">
        <v>532.91999999999996</v>
      </c>
      <c r="H203">
        <v>1</v>
      </c>
      <c r="I203">
        <v>140.11000000000001</v>
      </c>
    </row>
    <row r="204" spans="1:9" x14ac:dyDescent="0.35">
      <c r="A204" t="s">
        <v>266</v>
      </c>
      <c r="B204" t="s">
        <v>262</v>
      </c>
      <c r="C204" t="s">
        <v>34</v>
      </c>
      <c r="D204" t="s">
        <v>23</v>
      </c>
      <c r="E204" t="s">
        <v>5</v>
      </c>
      <c r="F204" t="s">
        <v>31</v>
      </c>
      <c r="G204">
        <v>208.36</v>
      </c>
      <c r="H204">
        <v>6</v>
      </c>
      <c r="I204">
        <v>50.77</v>
      </c>
    </row>
    <row r="205" spans="1:9" x14ac:dyDescent="0.35">
      <c r="A205" t="s">
        <v>267</v>
      </c>
      <c r="B205" t="s">
        <v>262</v>
      </c>
      <c r="C205" t="s">
        <v>16</v>
      </c>
      <c r="D205" t="s">
        <v>38</v>
      </c>
      <c r="E205" t="s">
        <v>4</v>
      </c>
      <c r="F205" t="s">
        <v>24</v>
      </c>
      <c r="G205">
        <v>492.45</v>
      </c>
      <c r="H205">
        <v>2</v>
      </c>
      <c r="I205">
        <v>41.38</v>
      </c>
    </row>
    <row r="206" spans="1:9" x14ac:dyDescent="0.35">
      <c r="A206" t="s">
        <v>268</v>
      </c>
      <c r="B206" t="s">
        <v>269</v>
      </c>
      <c r="C206" t="s">
        <v>16</v>
      </c>
      <c r="D206" t="s">
        <v>17</v>
      </c>
      <c r="E206" t="s">
        <v>4</v>
      </c>
      <c r="F206" t="s">
        <v>24</v>
      </c>
      <c r="G206">
        <v>103.56</v>
      </c>
      <c r="H206">
        <v>2</v>
      </c>
      <c r="I206">
        <v>25.72</v>
      </c>
    </row>
    <row r="207" spans="1:9" x14ac:dyDescent="0.35">
      <c r="A207" t="s">
        <v>270</v>
      </c>
      <c r="B207" t="s">
        <v>269</v>
      </c>
      <c r="C207" t="s">
        <v>34</v>
      </c>
      <c r="D207" t="s">
        <v>17</v>
      </c>
      <c r="E207" t="s">
        <v>5</v>
      </c>
      <c r="F207" t="s">
        <v>29</v>
      </c>
      <c r="G207">
        <v>116.68</v>
      </c>
      <c r="H207">
        <v>7</v>
      </c>
      <c r="I207">
        <v>30.64</v>
      </c>
    </row>
    <row r="208" spans="1:9" x14ac:dyDescent="0.35">
      <c r="A208" t="s">
        <v>271</v>
      </c>
      <c r="B208" t="s">
        <v>269</v>
      </c>
      <c r="C208" t="s">
        <v>16</v>
      </c>
      <c r="D208" t="s">
        <v>23</v>
      </c>
      <c r="E208" t="s">
        <v>5</v>
      </c>
      <c r="F208" t="s">
        <v>31</v>
      </c>
      <c r="G208">
        <v>362.35</v>
      </c>
      <c r="H208">
        <v>1</v>
      </c>
      <c r="I208">
        <v>73.319999999999993</v>
      </c>
    </row>
    <row r="209" spans="1:9" x14ac:dyDescent="0.35">
      <c r="A209" t="s">
        <v>272</v>
      </c>
      <c r="B209" t="s">
        <v>269</v>
      </c>
      <c r="C209" t="s">
        <v>26</v>
      </c>
      <c r="D209" t="s">
        <v>23</v>
      </c>
      <c r="E209" t="s">
        <v>4</v>
      </c>
      <c r="F209" t="s">
        <v>20</v>
      </c>
      <c r="G209">
        <v>131.68</v>
      </c>
      <c r="H209">
        <v>6</v>
      </c>
      <c r="I209">
        <v>2.57</v>
      </c>
    </row>
    <row r="210" spans="1:9" x14ac:dyDescent="0.35">
      <c r="A210" t="s">
        <v>273</v>
      </c>
      <c r="B210" t="s">
        <v>269</v>
      </c>
      <c r="C210" t="s">
        <v>22</v>
      </c>
      <c r="D210" t="s">
        <v>23</v>
      </c>
      <c r="E210" t="s">
        <v>5</v>
      </c>
      <c r="F210" t="s">
        <v>29</v>
      </c>
      <c r="G210">
        <v>204.28</v>
      </c>
      <c r="H210">
        <v>7</v>
      </c>
      <c r="I210">
        <v>32.82</v>
      </c>
    </row>
    <row r="211" spans="1:9" x14ac:dyDescent="0.35">
      <c r="A211" t="s">
        <v>274</v>
      </c>
      <c r="B211" t="s">
        <v>269</v>
      </c>
      <c r="C211" t="s">
        <v>22</v>
      </c>
      <c r="D211" t="s">
        <v>38</v>
      </c>
      <c r="E211" t="s">
        <v>5</v>
      </c>
      <c r="F211" t="s">
        <v>29</v>
      </c>
      <c r="G211">
        <v>63.59</v>
      </c>
      <c r="H211">
        <v>8</v>
      </c>
      <c r="I211">
        <v>5.46</v>
      </c>
    </row>
    <row r="212" spans="1:9" x14ac:dyDescent="0.35">
      <c r="A212" t="s">
        <v>275</v>
      </c>
      <c r="B212" t="s">
        <v>276</v>
      </c>
      <c r="C212" t="s">
        <v>22</v>
      </c>
      <c r="D212" t="s">
        <v>38</v>
      </c>
      <c r="E212" t="s">
        <v>3</v>
      </c>
      <c r="F212" t="s">
        <v>49</v>
      </c>
      <c r="G212">
        <v>108.79</v>
      </c>
      <c r="H212">
        <v>7</v>
      </c>
      <c r="I212">
        <v>-5.31</v>
      </c>
    </row>
    <row r="213" spans="1:9" x14ac:dyDescent="0.35">
      <c r="A213" t="s">
        <v>277</v>
      </c>
      <c r="B213" t="s">
        <v>276</v>
      </c>
      <c r="C213" t="s">
        <v>26</v>
      </c>
      <c r="D213" t="s">
        <v>38</v>
      </c>
      <c r="E213" t="s">
        <v>4</v>
      </c>
      <c r="F213" t="s">
        <v>24</v>
      </c>
      <c r="G213">
        <v>39.76</v>
      </c>
      <c r="H213">
        <v>6</v>
      </c>
      <c r="I213">
        <v>1.21</v>
      </c>
    </row>
    <row r="214" spans="1:9" x14ac:dyDescent="0.35">
      <c r="A214" t="s">
        <v>278</v>
      </c>
      <c r="B214" t="s">
        <v>276</v>
      </c>
      <c r="C214" t="s">
        <v>16</v>
      </c>
      <c r="D214" t="s">
        <v>23</v>
      </c>
      <c r="E214" t="s">
        <v>4</v>
      </c>
      <c r="F214" t="s">
        <v>24</v>
      </c>
      <c r="G214">
        <v>54.6</v>
      </c>
      <c r="H214">
        <v>9</v>
      </c>
      <c r="I214">
        <v>6.74</v>
      </c>
    </row>
    <row r="215" spans="1:9" x14ac:dyDescent="0.35">
      <c r="A215" t="s">
        <v>279</v>
      </c>
      <c r="B215" t="s">
        <v>276</v>
      </c>
      <c r="C215" t="s">
        <v>16</v>
      </c>
      <c r="D215" t="s">
        <v>17</v>
      </c>
      <c r="E215" t="s">
        <v>5</v>
      </c>
      <c r="F215" t="s">
        <v>29</v>
      </c>
      <c r="G215">
        <v>20.14</v>
      </c>
      <c r="H215">
        <v>3</v>
      </c>
      <c r="I215">
        <v>7.79</v>
      </c>
    </row>
    <row r="216" spans="1:9" x14ac:dyDescent="0.35">
      <c r="A216" t="s">
        <v>280</v>
      </c>
      <c r="B216" t="s">
        <v>276</v>
      </c>
      <c r="C216" t="s">
        <v>34</v>
      </c>
      <c r="D216" t="s">
        <v>17</v>
      </c>
      <c r="E216" t="s">
        <v>4</v>
      </c>
      <c r="F216" t="s">
        <v>20</v>
      </c>
      <c r="G216">
        <v>26.01</v>
      </c>
      <c r="H216">
        <v>6</v>
      </c>
      <c r="I216">
        <v>7.02</v>
      </c>
    </row>
    <row r="217" spans="1:9" x14ac:dyDescent="0.35">
      <c r="A217" t="s">
        <v>281</v>
      </c>
      <c r="B217" t="s">
        <v>276</v>
      </c>
      <c r="C217" t="s">
        <v>16</v>
      </c>
      <c r="D217" t="s">
        <v>17</v>
      </c>
      <c r="E217" t="s">
        <v>5</v>
      </c>
      <c r="F217" t="s">
        <v>31</v>
      </c>
      <c r="G217">
        <v>587.70000000000005</v>
      </c>
      <c r="H217">
        <v>4</v>
      </c>
      <c r="I217">
        <v>145.03</v>
      </c>
    </row>
    <row r="218" spans="1:9" x14ac:dyDescent="0.35">
      <c r="A218" t="s">
        <v>282</v>
      </c>
      <c r="B218" t="s">
        <v>283</v>
      </c>
      <c r="C218" t="s">
        <v>34</v>
      </c>
      <c r="D218" t="s">
        <v>23</v>
      </c>
      <c r="E218" t="s">
        <v>3</v>
      </c>
      <c r="F218" t="s">
        <v>18</v>
      </c>
      <c r="G218">
        <v>61.63</v>
      </c>
      <c r="H218">
        <v>2</v>
      </c>
      <c r="I218">
        <v>-3.62</v>
      </c>
    </row>
    <row r="219" spans="1:9" x14ac:dyDescent="0.35">
      <c r="A219" t="s">
        <v>284</v>
      </c>
      <c r="B219" t="s">
        <v>283</v>
      </c>
      <c r="C219" t="s">
        <v>26</v>
      </c>
      <c r="D219" t="s">
        <v>17</v>
      </c>
      <c r="E219" t="s">
        <v>4</v>
      </c>
      <c r="F219" t="s">
        <v>24</v>
      </c>
      <c r="G219">
        <v>183.29</v>
      </c>
      <c r="H219">
        <v>1</v>
      </c>
      <c r="I219">
        <v>61.95</v>
      </c>
    </row>
    <row r="220" spans="1:9" x14ac:dyDescent="0.35">
      <c r="A220" t="s">
        <v>285</v>
      </c>
      <c r="B220" t="s">
        <v>283</v>
      </c>
      <c r="C220" t="s">
        <v>22</v>
      </c>
      <c r="D220" t="s">
        <v>38</v>
      </c>
      <c r="E220" t="s">
        <v>4</v>
      </c>
      <c r="F220" t="s">
        <v>39</v>
      </c>
      <c r="G220">
        <v>294.05</v>
      </c>
      <c r="H220">
        <v>1</v>
      </c>
      <c r="I220">
        <v>59.42</v>
      </c>
    </row>
    <row r="221" spans="1:9" x14ac:dyDescent="0.35">
      <c r="A221" t="s">
        <v>286</v>
      </c>
      <c r="B221" t="s">
        <v>283</v>
      </c>
      <c r="C221" t="s">
        <v>22</v>
      </c>
      <c r="D221" t="s">
        <v>23</v>
      </c>
      <c r="E221" t="s">
        <v>4</v>
      </c>
      <c r="F221" t="s">
        <v>20</v>
      </c>
      <c r="G221">
        <v>140</v>
      </c>
      <c r="H221">
        <v>3</v>
      </c>
      <c r="I221">
        <v>16.41</v>
      </c>
    </row>
    <row r="222" spans="1:9" x14ac:dyDescent="0.35">
      <c r="A222" t="s">
        <v>287</v>
      </c>
      <c r="B222" t="s">
        <v>283</v>
      </c>
      <c r="C222" t="s">
        <v>22</v>
      </c>
      <c r="D222" t="s">
        <v>23</v>
      </c>
      <c r="E222" t="s">
        <v>4</v>
      </c>
      <c r="F222" t="s">
        <v>24</v>
      </c>
      <c r="G222">
        <v>44.93</v>
      </c>
      <c r="H222">
        <v>4</v>
      </c>
      <c r="I222">
        <v>0.33</v>
      </c>
    </row>
    <row r="223" spans="1:9" x14ac:dyDescent="0.35">
      <c r="A223" t="s">
        <v>288</v>
      </c>
      <c r="B223" t="s">
        <v>283</v>
      </c>
      <c r="C223" t="s">
        <v>16</v>
      </c>
      <c r="D223" t="s">
        <v>17</v>
      </c>
      <c r="E223" t="s">
        <v>3</v>
      </c>
      <c r="F223" t="s">
        <v>18</v>
      </c>
      <c r="G223">
        <v>215.36</v>
      </c>
      <c r="H223">
        <v>2</v>
      </c>
      <c r="I223">
        <v>-2.29</v>
      </c>
    </row>
    <row r="224" spans="1:9" x14ac:dyDescent="0.35">
      <c r="A224" t="s">
        <v>289</v>
      </c>
      <c r="B224" t="s">
        <v>290</v>
      </c>
      <c r="C224" t="s">
        <v>34</v>
      </c>
      <c r="D224" t="s">
        <v>17</v>
      </c>
      <c r="E224" t="s">
        <v>5</v>
      </c>
      <c r="F224" t="s">
        <v>31</v>
      </c>
      <c r="G224">
        <v>157.54</v>
      </c>
      <c r="H224">
        <v>1</v>
      </c>
      <c r="I224">
        <v>52.45</v>
      </c>
    </row>
    <row r="225" spans="1:9" x14ac:dyDescent="0.35">
      <c r="A225" t="s">
        <v>291</v>
      </c>
      <c r="B225" t="s">
        <v>290</v>
      </c>
      <c r="C225" t="s">
        <v>34</v>
      </c>
      <c r="D225" t="s">
        <v>17</v>
      </c>
      <c r="E225" t="s">
        <v>3</v>
      </c>
      <c r="F225" t="s">
        <v>27</v>
      </c>
      <c r="G225">
        <v>217.1</v>
      </c>
      <c r="H225">
        <v>4</v>
      </c>
      <c r="I225">
        <v>-24.57</v>
      </c>
    </row>
    <row r="226" spans="1:9" x14ac:dyDescent="0.35">
      <c r="A226" t="s">
        <v>292</v>
      </c>
      <c r="B226" t="s">
        <v>290</v>
      </c>
      <c r="C226" t="s">
        <v>26</v>
      </c>
      <c r="D226" t="s">
        <v>17</v>
      </c>
      <c r="E226" t="s">
        <v>5</v>
      </c>
      <c r="F226" t="s">
        <v>29</v>
      </c>
      <c r="G226">
        <v>240.29</v>
      </c>
      <c r="H226">
        <v>7</v>
      </c>
      <c r="I226">
        <v>67.069999999999993</v>
      </c>
    </row>
    <row r="227" spans="1:9" x14ac:dyDescent="0.35">
      <c r="A227" t="s">
        <v>293</v>
      </c>
      <c r="B227" t="s">
        <v>290</v>
      </c>
      <c r="C227" t="s">
        <v>16</v>
      </c>
      <c r="D227" t="s">
        <v>17</v>
      </c>
      <c r="E227" t="s">
        <v>5</v>
      </c>
      <c r="F227" t="s">
        <v>41</v>
      </c>
      <c r="G227">
        <v>575.80999999999995</v>
      </c>
      <c r="H227">
        <v>6</v>
      </c>
      <c r="I227">
        <v>123.02</v>
      </c>
    </row>
    <row r="228" spans="1:9" x14ac:dyDescent="0.35">
      <c r="A228" t="s">
        <v>294</v>
      </c>
      <c r="B228" t="s">
        <v>290</v>
      </c>
      <c r="C228" t="s">
        <v>26</v>
      </c>
      <c r="D228" t="s">
        <v>23</v>
      </c>
      <c r="E228" t="s">
        <v>4</v>
      </c>
      <c r="F228" t="s">
        <v>24</v>
      </c>
      <c r="G228">
        <v>147.84</v>
      </c>
      <c r="H228">
        <v>6</v>
      </c>
      <c r="I228">
        <v>19.46</v>
      </c>
    </row>
    <row r="229" spans="1:9" x14ac:dyDescent="0.35">
      <c r="A229" t="s">
        <v>295</v>
      </c>
      <c r="B229" t="s">
        <v>290</v>
      </c>
      <c r="C229" t="s">
        <v>34</v>
      </c>
      <c r="D229" t="s">
        <v>38</v>
      </c>
      <c r="E229" t="s">
        <v>3</v>
      </c>
      <c r="F229" t="s">
        <v>27</v>
      </c>
      <c r="G229">
        <v>82.7</v>
      </c>
      <c r="H229">
        <v>9</v>
      </c>
      <c r="I229">
        <v>-24.71</v>
      </c>
    </row>
    <row r="230" spans="1:9" x14ac:dyDescent="0.35">
      <c r="A230" t="s">
        <v>296</v>
      </c>
      <c r="B230" t="s">
        <v>297</v>
      </c>
      <c r="C230" t="s">
        <v>34</v>
      </c>
      <c r="D230" t="s">
        <v>38</v>
      </c>
      <c r="E230" t="s">
        <v>4</v>
      </c>
      <c r="F230" t="s">
        <v>24</v>
      </c>
      <c r="G230">
        <v>176.82</v>
      </c>
      <c r="H230">
        <v>2</v>
      </c>
      <c r="I230">
        <v>22.6</v>
      </c>
    </row>
    <row r="231" spans="1:9" x14ac:dyDescent="0.35">
      <c r="A231" t="s">
        <v>298</v>
      </c>
      <c r="B231" t="s">
        <v>297</v>
      </c>
      <c r="C231" t="s">
        <v>22</v>
      </c>
      <c r="D231" t="s">
        <v>23</v>
      </c>
      <c r="E231" t="s">
        <v>4</v>
      </c>
      <c r="F231" t="s">
        <v>39</v>
      </c>
      <c r="G231">
        <v>30.63</v>
      </c>
      <c r="H231">
        <v>4</v>
      </c>
      <c r="I231">
        <v>7.56</v>
      </c>
    </row>
    <row r="232" spans="1:9" x14ac:dyDescent="0.35">
      <c r="A232" t="s">
        <v>299</v>
      </c>
      <c r="B232" t="s">
        <v>297</v>
      </c>
      <c r="C232" t="s">
        <v>16</v>
      </c>
      <c r="D232" t="s">
        <v>17</v>
      </c>
      <c r="E232" t="s">
        <v>4</v>
      </c>
      <c r="F232" t="s">
        <v>39</v>
      </c>
      <c r="G232">
        <v>361.53</v>
      </c>
      <c r="H232">
        <v>5</v>
      </c>
      <c r="I232">
        <v>31.4</v>
      </c>
    </row>
    <row r="233" spans="1:9" x14ac:dyDescent="0.35">
      <c r="A233" t="s">
        <v>300</v>
      </c>
      <c r="B233" t="s">
        <v>297</v>
      </c>
      <c r="C233" t="s">
        <v>34</v>
      </c>
      <c r="D233" t="s">
        <v>38</v>
      </c>
      <c r="E233" t="s">
        <v>3</v>
      </c>
      <c r="F233" t="s">
        <v>18</v>
      </c>
      <c r="G233">
        <v>39.07</v>
      </c>
      <c r="H233">
        <v>1</v>
      </c>
      <c r="I233">
        <v>-1.75</v>
      </c>
    </row>
    <row r="234" spans="1:9" x14ac:dyDescent="0.35">
      <c r="A234" t="s">
        <v>301</v>
      </c>
      <c r="B234" t="s">
        <v>297</v>
      </c>
      <c r="C234" t="s">
        <v>22</v>
      </c>
      <c r="D234" t="s">
        <v>38</v>
      </c>
      <c r="E234" t="s">
        <v>3</v>
      </c>
      <c r="F234" t="s">
        <v>49</v>
      </c>
      <c r="G234">
        <v>79.59</v>
      </c>
      <c r="H234">
        <v>8</v>
      </c>
      <c r="I234">
        <v>-10</v>
      </c>
    </row>
    <row r="235" spans="1:9" x14ac:dyDescent="0.35">
      <c r="A235" t="s">
        <v>302</v>
      </c>
      <c r="B235" t="s">
        <v>297</v>
      </c>
      <c r="C235" t="s">
        <v>16</v>
      </c>
      <c r="D235" t="s">
        <v>17</v>
      </c>
      <c r="E235" t="s">
        <v>3</v>
      </c>
      <c r="F235" t="s">
        <v>18</v>
      </c>
      <c r="G235">
        <v>273.72000000000003</v>
      </c>
      <c r="H235">
        <v>8</v>
      </c>
      <c r="I235">
        <v>-3.82</v>
      </c>
    </row>
    <row r="236" spans="1:9" x14ac:dyDescent="0.35">
      <c r="A236" t="s">
        <v>303</v>
      </c>
      <c r="B236" t="s">
        <v>304</v>
      </c>
      <c r="C236" t="s">
        <v>26</v>
      </c>
      <c r="D236" t="s">
        <v>23</v>
      </c>
      <c r="E236" t="s">
        <v>5</v>
      </c>
      <c r="F236" t="s">
        <v>29</v>
      </c>
      <c r="G236">
        <v>156.44</v>
      </c>
      <c r="H236">
        <v>6</v>
      </c>
      <c r="I236">
        <v>35.72</v>
      </c>
    </row>
    <row r="237" spans="1:9" x14ac:dyDescent="0.35">
      <c r="A237" t="s">
        <v>305</v>
      </c>
      <c r="B237" t="s">
        <v>304</v>
      </c>
      <c r="C237" t="s">
        <v>16</v>
      </c>
      <c r="D237" t="s">
        <v>17</v>
      </c>
      <c r="E237" t="s">
        <v>4</v>
      </c>
      <c r="F237" t="s">
        <v>39</v>
      </c>
      <c r="G237">
        <v>95.04</v>
      </c>
      <c r="H237">
        <v>5</v>
      </c>
      <c r="I237">
        <v>5.33</v>
      </c>
    </row>
    <row r="238" spans="1:9" x14ac:dyDescent="0.35">
      <c r="A238" t="s">
        <v>306</v>
      </c>
      <c r="B238" t="s">
        <v>304</v>
      </c>
      <c r="C238" t="s">
        <v>16</v>
      </c>
      <c r="D238" t="s">
        <v>38</v>
      </c>
      <c r="E238" t="s">
        <v>5</v>
      </c>
      <c r="F238" t="s">
        <v>29</v>
      </c>
      <c r="G238">
        <v>116.21</v>
      </c>
      <c r="H238">
        <v>8</v>
      </c>
      <c r="I238">
        <v>44.54</v>
      </c>
    </row>
    <row r="239" spans="1:9" x14ac:dyDescent="0.35">
      <c r="A239" t="s">
        <v>307</v>
      </c>
      <c r="B239" t="s">
        <v>304</v>
      </c>
      <c r="C239" t="s">
        <v>34</v>
      </c>
      <c r="D239" t="s">
        <v>38</v>
      </c>
      <c r="E239" t="s">
        <v>5</v>
      </c>
      <c r="F239" t="s">
        <v>41</v>
      </c>
      <c r="G239">
        <v>309.19</v>
      </c>
      <c r="H239">
        <v>3</v>
      </c>
      <c r="I239">
        <v>106.02</v>
      </c>
    </row>
    <row r="240" spans="1:9" x14ac:dyDescent="0.35">
      <c r="A240" t="s">
        <v>308</v>
      </c>
      <c r="B240" t="s">
        <v>304</v>
      </c>
      <c r="C240" t="s">
        <v>34</v>
      </c>
      <c r="D240" t="s">
        <v>17</v>
      </c>
      <c r="E240" t="s">
        <v>4</v>
      </c>
      <c r="F240" t="s">
        <v>20</v>
      </c>
      <c r="G240">
        <v>82.33</v>
      </c>
      <c r="H240">
        <v>3</v>
      </c>
      <c r="I240">
        <v>7.37</v>
      </c>
    </row>
    <row r="241" spans="1:9" x14ac:dyDescent="0.35">
      <c r="A241" t="s">
        <v>309</v>
      </c>
      <c r="B241" t="s">
        <v>304</v>
      </c>
      <c r="C241" t="s">
        <v>16</v>
      </c>
      <c r="D241" t="s">
        <v>38</v>
      </c>
      <c r="E241" t="s">
        <v>5</v>
      </c>
      <c r="F241" t="s">
        <v>41</v>
      </c>
      <c r="G241">
        <v>325.63</v>
      </c>
      <c r="H241">
        <v>2</v>
      </c>
      <c r="I241">
        <v>97.62</v>
      </c>
    </row>
    <row r="242" spans="1:9" x14ac:dyDescent="0.35">
      <c r="A242" t="s">
        <v>310</v>
      </c>
      <c r="B242" t="s">
        <v>311</v>
      </c>
      <c r="C242" t="s">
        <v>34</v>
      </c>
      <c r="D242" t="s">
        <v>23</v>
      </c>
      <c r="E242" t="s">
        <v>4</v>
      </c>
      <c r="F242" t="s">
        <v>39</v>
      </c>
      <c r="G242">
        <v>33.840000000000003</v>
      </c>
      <c r="H242">
        <v>5</v>
      </c>
      <c r="I242">
        <v>6.89</v>
      </c>
    </row>
    <row r="243" spans="1:9" x14ac:dyDescent="0.35">
      <c r="A243" t="s">
        <v>312</v>
      </c>
      <c r="B243" t="s">
        <v>311</v>
      </c>
      <c r="C243" t="s">
        <v>34</v>
      </c>
      <c r="D243" t="s">
        <v>38</v>
      </c>
      <c r="E243" t="s">
        <v>4</v>
      </c>
      <c r="F243" t="s">
        <v>20</v>
      </c>
      <c r="G243">
        <v>244.95</v>
      </c>
      <c r="H243">
        <v>3</v>
      </c>
      <c r="I243">
        <v>52.48</v>
      </c>
    </row>
    <row r="244" spans="1:9" x14ac:dyDescent="0.35">
      <c r="A244" t="s">
        <v>313</v>
      </c>
      <c r="B244" t="s">
        <v>311</v>
      </c>
      <c r="C244" t="s">
        <v>34</v>
      </c>
      <c r="D244" t="s">
        <v>17</v>
      </c>
      <c r="E244" t="s">
        <v>4</v>
      </c>
      <c r="F244" t="s">
        <v>24</v>
      </c>
      <c r="G244">
        <v>302.14</v>
      </c>
      <c r="H244">
        <v>3</v>
      </c>
      <c r="I244">
        <v>-5.87</v>
      </c>
    </row>
    <row r="245" spans="1:9" x14ac:dyDescent="0.35">
      <c r="A245" t="s">
        <v>314</v>
      </c>
      <c r="B245" t="s">
        <v>311</v>
      </c>
      <c r="C245" t="s">
        <v>22</v>
      </c>
      <c r="D245" t="s">
        <v>38</v>
      </c>
      <c r="E245" t="s">
        <v>3</v>
      </c>
      <c r="F245" t="s">
        <v>18</v>
      </c>
      <c r="G245">
        <v>50.1</v>
      </c>
      <c r="H245">
        <v>6</v>
      </c>
      <c r="I245">
        <v>2.54</v>
      </c>
    </row>
    <row r="246" spans="1:9" x14ac:dyDescent="0.35">
      <c r="A246" t="s">
        <v>315</v>
      </c>
      <c r="B246" t="s">
        <v>311</v>
      </c>
      <c r="C246" t="s">
        <v>22</v>
      </c>
      <c r="D246" t="s">
        <v>17</v>
      </c>
      <c r="E246" t="s">
        <v>5</v>
      </c>
      <c r="F246" t="s">
        <v>41</v>
      </c>
      <c r="G246">
        <v>104.41</v>
      </c>
      <c r="H246">
        <v>8</v>
      </c>
      <c r="I246">
        <v>20.149999999999999</v>
      </c>
    </row>
    <row r="247" spans="1:9" x14ac:dyDescent="0.35">
      <c r="A247" t="s">
        <v>316</v>
      </c>
      <c r="B247" t="s">
        <v>311</v>
      </c>
      <c r="C247" t="s">
        <v>16</v>
      </c>
      <c r="D247" t="s">
        <v>17</v>
      </c>
      <c r="E247" t="s">
        <v>4</v>
      </c>
      <c r="F247" t="s">
        <v>24</v>
      </c>
      <c r="G247">
        <v>47.14</v>
      </c>
      <c r="H247">
        <v>2</v>
      </c>
      <c r="I247">
        <v>5.38</v>
      </c>
    </row>
    <row r="248" spans="1:9" x14ac:dyDescent="0.35">
      <c r="A248" t="s">
        <v>317</v>
      </c>
      <c r="B248" t="s">
        <v>318</v>
      </c>
      <c r="C248" t="s">
        <v>34</v>
      </c>
      <c r="D248" t="s">
        <v>17</v>
      </c>
      <c r="E248" t="s">
        <v>3</v>
      </c>
      <c r="F248" t="s">
        <v>18</v>
      </c>
      <c r="G248">
        <v>203.93</v>
      </c>
      <c r="H248">
        <v>4</v>
      </c>
      <c r="I248">
        <v>43.6</v>
      </c>
    </row>
    <row r="249" spans="1:9" x14ac:dyDescent="0.35">
      <c r="A249" t="s">
        <v>319</v>
      </c>
      <c r="B249" t="s">
        <v>318</v>
      </c>
      <c r="C249" t="s">
        <v>22</v>
      </c>
      <c r="D249" t="s">
        <v>38</v>
      </c>
      <c r="E249" t="s">
        <v>4</v>
      </c>
      <c r="F249" t="s">
        <v>20</v>
      </c>
      <c r="G249">
        <v>134.97</v>
      </c>
      <c r="H249">
        <v>7</v>
      </c>
      <c r="I249">
        <v>24.32</v>
      </c>
    </row>
    <row r="250" spans="1:9" x14ac:dyDescent="0.35">
      <c r="A250" t="s">
        <v>320</v>
      </c>
      <c r="B250" t="s">
        <v>318</v>
      </c>
      <c r="C250" t="s">
        <v>16</v>
      </c>
      <c r="D250" t="s">
        <v>38</v>
      </c>
      <c r="E250" t="s">
        <v>4</v>
      </c>
      <c r="F250" t="s">
        <v>20</v>
      </c>
      <c r="G250">
        <v>171.31</v>
      </c>
      <c r="H250">
        <v>1</v>
      </c>
      <c r="I250">
        <v>19.079999999999998</v>
      </c>
    </row>
    <row r="251" spans="1:9" x14ac:dyDescent="0.35">
      <c r="A251" t="s">
        <v>321</v>
      </c>
      <c r="B251" t="s">
        <v>318</v>
      </c>
      <c r="C251" t="s">
        <v>34</v>
      </c>
      <c r="D251" t="s">
        <v>38</v>
      </c>
      <c r="E251" t="s">
        <v>4</v>
      </c>
      <c r="F251" t="s">
        <v>24</v>
      </c>
      <c r="G251">
        <v>52.81</v>
      </c>
      <c r="H251">
        <v>1</v>
      </c>
      <c r="I251">
        <v>-3.72</v>
      </c>
    </row>
    <row r="252" spans="1:9" x14ac:dyDescent="0.35">
      <c r="A252" t="s">
        <v>322</v>
      </c>
      <c r="B252" t="s">
        <v>318</v>
      </c>
      <c r="C252" t="s">
        <v>26</v>
      </c>
      <c r="D252" t="s">
        <v>38</v>
      </c>
      <c r="E252" t="s">
        <v>5</v>
      </c>
      <c r="F252" t="s">
        <v>41</v>
      </c>
      <c r="G252">
        <v>55.69</v>
      </c>
      <c r="H252">
        <v>7</v>
      </c>
      <c r="I252">
        <v>21.66</v>
      </c>
    </row>
    <row r="253" spans="1:9" x14ac:dyDescent="0.35">
      <c r="A253" t="s">
        <v>323</v>
      </c>
      <c r="B253" t="s">
        <v>318</v>
      </c>
      <c r="C253" t="s">
        <v>34</v>
      </c>
      <c r="D253" t="s">
        <v>17</v>
      </c>
      <c r="E253" t="s">
        <v>3</v>
      </c>
      <c r="F253" t="s">
        <v>18</v>
      </c>
      <c r="G253">
        <v>26.36</v>
      </c>
      <c r="H253">
        <v>7</v>
      </c>
      <c r="I253">
        <v>-4.8600000000000003</v>
      </c>
    </row>
    <row r="254" spans="1:9" x14ac:dyDescent="0.35">
      <c r="A254" t="s">
        <v>324</v>
      </c>
      <c r="B254" t="s">
        <v>325</v>
      </c>
      <c r="C254" t="s">
        <v>34</v>
      </c>
      <c r="D254" t="s">
        <v>17</v>
      </c>
      <c r="E254" t="s">
        <v>4</v>
      </c>
      <c r="F254" t="s">
        <v>20</v>
      </c>
      <c r="G254">
        <v>78.31</v>
      </c>
      <c r="H254">
        <v>1</v>
      </c>
      <c r="I254">
        <v>3.89</v>
      </c>
    </row>
    <row r="255" spans="1:9" x14ac:dyDescent="0.35">
      <c r="A255" t="s">
        <v>326</v>
      </c>
      <c r="B255" t="s">
        <v>325</v>
      </c>
      <c r="C255" t="s">
        <v>22</v>
      </c>
      <c r="D255" t="s">
        <v>17</v>
      </c>
      <c r="E255" t="s">
        <v>3</v>
      </c>
      <c r="F255" t="s">
        <v>18</v>
      </c>
      <c r="G255">
        <v>143.06</v>
      </c>
      <c r="H255">
        <v>1</v>
      </c>
      <c r="I255">
        <v>-11.89</v>
      </c>
    </row>
    <row r="256" spans="1:9" x14ac:dyDescent="0.35">
      <c r="A256" t="s">
        <v>327</v>
      </c>
      <c r="B256" t="s">
        <v>325</v>
      </c>
      <c r="C256" t="s">
        <v>16</v>
      </c>
      <c r="D256" t="s">
        <v>17</v>
      </c>
      <c r="E256" t="s">
        <v>5</v>
      </c>
      <c r="F256" t="s">
        <v>29</v>
      </c>
      <c r="G256">
        <v>312.72000000000003</v>
      </c>
      <c r="H256">
        <v>4</v>
      </c>
      <c r="I256">
        <v>122.47</v>
      </c>
    </row>
    <row r="257" spans="1:9" x14ac:dyDescent="0.35">
      <c r="A257" t="s">
        <v>328</v>
      </c>
      <c r="B257" t="s">
        <v>325</v>
      </c>
      <c r="C257" t="s">
        <v>16</v>
      </c>
      <c r="D257" t="s">
        <v>17</v>
      </c>
      <c r="E257" t="s">
        <v>3</v>
      </c>
      <c r="F257" t="s">
        <v>18</v>
      </c>
      <c r="G257">
        <v>184.91</v>
      </c>
      <c r="H257">
        <v>5</v>
      </c>
      <c r="I257">
        <v>5.05</v>
      </c>
    </row>
    <row r="258" spans="1:9" x14ac:dyDescent="0.35">
      <c r="A258" t="s">
        <v>329</v>
      </c>
      <c r="B258" t="s">
        <v>325</v>
      </c>
      <c r="C258" t="s">
        <v>22</v>
      </c>
      <c r="D258" t="s">
        <v>17</v>
      </c>
      <c r="E258" t="s">
        <v>4</v>
      </c>
      <c r="F258" t="s">
        <v>39</v>
      </c>
      <c r="G258">
        <v>105.74</v>
      </c>
      <c r="H258">
        <v>5</v>
      </c>
      <c r="I258">
        <v>14.19</v>
      </c>
    </row>
    <row r="259" spans="1:9" x14ac:dyDescent="0.35">
      <c r="A259" t="s">
        <v>330</v>
      </c>
      <c r="B259" t="s">
        <v>325</v>
      </c>
      <c r="C259" t="s">
        <v>34</v>
      </c>
      <c r="D259" t="s">
        <v>17</v>
      </c>
      <c r="E259" t="s">
        <v>4</v>
      </c>
      <c r="F259" t="s">
        <v>39</v>
      </c>
      <c r="G259">
        <v>479.02</v>
      </c>
      <c r="H259">
        <v>4</v>
      </c>
      <c r="I259">
        <v>86.62</v>
      </c>
    </row>
    <row r="260" spans="1:9" x14ac:dyDescent="0.35">
      <c r="A260" t="s">
        <v>331</v>
      </c>
      <c r="B260" t="s">
        <v>332</v>
      </c>
      <c r="C260" t="s">
        <v>26</v>
      </c>
      <c r="D260" t="s">
        <v>17</v>
      </c>
      <c r="E260" t="s">
        <v>3</v>
      </c>
      <c r="F260" t="s">
        <v>18</v>
      </c>
      <c r="G260">
        <v>210.54</v>
      </c>
      <c r="H260">
        <v>8</v>
      </c>
      <c r="I260">
        <v>-23.17</v>
      </c>
    </row>
    <row r="261" spans="1:9" x14ac:dyDescent="0.35">
      <c r="A261" t="s">
        <v>333</v>
      </c>
      <c r="B261" t="s">
        <v>332</v>
      </c>
      <c r="C261" t="s">
        <v>34</v>
      </c>
      <c r="D261" t="s">
        <v>17</v>
      </c>
      <c r="E261" t="s">
        <v>5</v>
      </c>
      <c r="F261" t="s">
        <v>31</v>
      </c>
      <c r="G261">
        <v>419.24</v>
      </c>
      <c r="H261">
        <v>7</v>
      </c>
      <c r="I261">
        <v>110.66</v>
      </c>
    </row>
    <row r="262" spans="1:9" x14ac:dyDescent="0.35">
      <c r="A262" t="s">
        <v>334</v>
      </c>
      <c r="B262" t="s">
        <v>332</v>
      </c>
      <c r="C262" t="s">
        <v>34</v>
      </c>
      <c r="D262" t="s">
        <v>17</v>
      </c>
      <c r="E262" t="s">
        <v>4</v>
      </c>
      <c r="F262" t="s">
        <v>39</v>
      </c>
      <c r="G262">
        <v>132.49</v>
      </c>
      <c r="H262">
        <v>9</v>
      </c>
      <c r="I262">
        <v>20.85</v>
      </c>
    </row>
    <row r="263" spans="1:9" x14ac:dyDescent="0.35">
      <c r="A263" t="s">
        <v>335</v>
      </c>
      <c r="B263" t="s">
        <v>332</v>
      </c>
      <c r="C263" t="s">
        <v>26</v>
      </c>
      <c r="D263" t="s">
        <v>38</v>
      </c>
      <c r="E263" t="s">
        <v>4</v>
      </c>
      <c r="F263" t="s">
        <v>24</v>
      </c>
      <c r="G263">
        <v>64.94</v>
      </c>
      <c r="H263">
        <v>7</v>
      </c>
      <c r="I263">
        <v>16.03</v>
      </c>
    </row>
    <row r="264" spans="1:9" x14ac:dyDescent="0.35">
      <c r="A264" t="s">
        <v>336</v>
      </c>
      <c r="B264" t="s">
        <v>332</v>
      </c>
      <c r="C264" t="s">
        <v>22</v>
      </c>
      <c r="D264" t="s">
        <v>23</v>
      </c>
      <c r="E264" t="s">
        <v>5</v>
      </c>
      <c r="F264" t="s">
        <v>41</v>
      </c>
      <c r="G264">
        <v>28.14</v>
      </c>
      <c r="H264">
        <v>1</v>
      </c>
      <c r="I264">
        <v>9.76</v>
      </c>
    </row>
    <row r="265" spans="1:9" x14ac:dyDescent="0.35">
      <c r="A265" t="s">
        <v>337</v>
      </c>
      <c r="B265" t="s">
        <v>332</v>
      </c>
      <c r="C265" t="s">
        <v>16</v>
      </c>
      <c r="D265" t="s">
        <v>38</v>
      </c>
      <c r="E265" t="s">
        <v>3</v>
      </c>
      <c r="F265" t="s">
        <v>18</v>
      </c>
      <c r="G265">
        <v>214.24</v>
      </c>
      <c r="H265">
        <v>7</v>
      </c>
      <c r="I265">
        <v>-0.13</v>
      </c>
    </row>
    <row r="266" spans="1:9" x14ac:dyDescent="0.35">
      <c r="A266" t="s">
        <v>338</v>
      </c>
      <c r="B266" t="s">
        <v>339</v>
      </c>
      <c r="C266" t="s">
        <v>22</v>
      </c>
      <c r="D266" t="s">
        <v>17</v>
      </c>
      <c r="E266" t="s">
        <v>4</v>
      </c>
      <c r="F266" t="s">
        <v>39</v>
      </c>
      <c r="G266">
        <v>39.4</v>
      </c>
      <c r="H266">
        <v>1</v>
      </c>
      <c r="I266">
        <v>4.4800000000000004</v>
      </c>
    </row>
    <row r="267" spans="1:9" x14ac:dyDescent="0.35">
      <c r="A267" t="s">
        <v>340</v>
      </c>
      <c r="B267" t="s">
        <v>339</v>
      </c>
      <c r="C267" t="s">
        <v>22</v>
      </c>
      <c r="D267" t="s">
        <v>17</v>
      </c>
      <c r="E267" t="s">
        <v>4</v>
      </c>
      <c r="F267" t="s">
        <v>20</v>
      </c>
      <c r="G267">
        <v>74.099999999999994</v>
      </c>
      <c r="H267">
        <v>7</v>
      </c>
      <c r="I267">
        <v>16.61</v>
      </c>
    </row>
    <row r="268" spans="1:9" x14ac:dyDescent="0.35">
      <c r="A268" t="s">
        <v>341</v>
      </c>
      <c r="B268" t="s">
        <v>339</v>
      </c>
      <c r="C268" t="s">
        <v>34</v>
      </c>
      <c r="D268" t="s">
        <v>23</v>
      </c>
      <c r="E268" t="s">
        <v>4</v>
      </c>
      <c r="F268" t="s">
        <v>39</v>
      </c>
      <c r="G268">
        <v>134.04</v>
      </c>
      <c r="H268">
        <v>8</v>
      </c>
      <c r="I268">
        <v>18.87</v>
      </c>
    </row>
    <row r="269" spans="1:9" x14ac:dyDescent="0.35">
      <c r="A269" t="s">
        <v>342</v>
      </c>
      <c r="B269" t="s">
        <v>339</v>
      </c>
      <c r="C269" t="s">
        <v>16</v>
      </c>
      <c r="D269" t="s">
        <v>17</v>
      </c>
      <c r="E269" t="s">
        <v>4</v>
      </c>
      <c r="F269" t="s">
        <v>20</v>
      </c>
      <c r="G269">
        <v>144.66</v>
      </c>
      <c r="H269">
        <v>9</v>
      </c>
      <c r="I269">
        <v>6.05</v>
      </c>
    </row>
    <row r="270" spans="1:9" x14ac:dyDescent="0.35">
      <c r="A270" t="s">
        <v>343</v>
      </c>
      <c r="B270" t="s">
        <v>339</v>
      </c>
      <c r="C270" t="s">
        <v>16</v>
      </c>
      <c r="D270" t="s">
        <v>17</v>
      </c>
      <c r="E270" t="s">
        <v>3</v>
      </c>
      <c r="F270" t="s">
        <v>18</v>
      </c>
      <c r="G270">
        <v>157.66</v>
      </c>
      <c r="H270">
        <v>3</v>
      </c>
      <c r="I270">
        <v>-14.24</v>
      </c>
    </row>
    <row r="271" spans="1:9" x14ac:dyDescent="0.35">
      <c r="A271" t="s">
        <v>344</v>
      </c>
      <c r="B271" t="s">
        <v>339</v>
      </c>
      <c r="C271" t="s">
        <v>22</v>
      </c>
      <c r="D271" t="s">
        <v>17</v>
      </c>
      <c r="E271" t="s">
        <v>5</v>
      </c>
      <c r="F271" t="s">
        <v>29</v>
      </c>
      <c r="G271">
        <v>47.27</v>
      </c>
      <c r="H271">
        <v>4</v>
      </c>
      <c r="I271">
        <v>12.22</v>
      </c>
    </row>
    <row r="272" spans="1:9" x14ac:dyDescent="0.35">
      <c r="A272" t="s">
        <v>345</v>
      </c>
      <c r="B272" t="s">
        <v>346</v>
      </c>
      <c r="C272" t="s">
        <v>26</v>
      </c>
      <c r="D272" t="s">
        <v>17</v>
      </c>
      <c r="E272" t="s">
        <v>4</v>
      </c>
      <c r="F272" t="s">
        <v>20</v>
      </c>
      <c r="G272">
        <v>91.64</v>
      </c>
      <c r="H272">
        <v>4</v>
      </c>
      <c r="I272">
        <v>22.09</v>
      </c>
    </row>
    <row r="273" spans="1:9" x14ac:dyDescent="0.35">
      <c r="A273" t="s">
        <v>347</v>
      </c>
      <c r="B273" t="s">
        <v>346</v>
      </c>
      <c r="C273" t="s">
        <v>22</v>
      </c>
      <c r="D273" t="s">
        <v>17</v>
      </c>
      <c r="E273" t="s">
        <v>4</v>
      </c>
      <c r="F273" t="s">
        <v>24</v>
      </c>
      <c r="G273">
        <v>164.03</v>
      </c>
      <c r="H273">
        <v>9</v>
      </c>
      <c r="I273">
        <v>21.59</v>
      </c>
    </row>
    <row r="274" spans="1:9" x14ac:dyDescent="0.35">
      <c r="A274" t="s">
        <v>348</v>
      </c>
      <c r="B274" t="s">
        <v>346</v>
      </c>
      <c r="C274" t="s">
        <v>26</v>
      </c>
      <c r="D274" t="s">
        <v>17</v>
      </c>
      <c r="E274" t="s">
        <v>4</v>
      </c>
      <c r="F274" t="s">
        <v>20</v>
      </c>
      <c r="G274">
        <v>545.08000000000004</v>
      </c>
      <c r="H274">
        <v>7</v>
      </c>
      <c r="I274">
        <v>15.85</v>
      </c>
    </row>
    <row r="275" spans="1:9" x14ac:dyDescent="0.35">
      <c r="A275" t="s">
        <v>349</v>
      </c>
      <c r="B275" t="s">
        <v>346</v>
      </c>
      <c r="C275" t="s">
        <v>16</v>
      </c>
      <c r="D275" t="s">
        <v>23</v>
      </c>
      <c r="E275" t="s">
        <v>4</v>
      </c>
      <c r="F275" t="s">
        <v>24</v>
      </c>
      <c r="G275">
        <v>215.09</v>
      </c>
      <c r="H275">
        <v>3</v>
      </c>
      <c r="I275">
        <v>33.479999999999997</v>
      </c>
    </row>
    <row r="276" spans="1:9" x14ac:dyDescent="0.35">
      <c r="A276" t="s">
        <v>350</v>
      </c>
      <c r="B276" t="s">
        <v>346</v>
      </c>
      <c r="C276" t="s">
        <v>22</v>
      </c>
      <c r="D276" t="s">
        <v>17</v>
      </c>
      <c r="E276" t="s">
        <v>3</v>
      </c>
      <c r="F276" t="s">
        <v>27</v>
      </c>
      <c r="G276">
        <v>403.82</v>
      </c>
      <c r="H276">
        <v>5</v>
      </c>
      <c r="I276">
        <v>-15.61</v>
      </c>
    </row>
    <row r="277" spans="1:9" x14ac:dyDescent="0.35">
      <c r="A277" t="s">
        <v>351</v>
      </c>
      <c r="B277" t="s">
        <v>346</v>
      </c>
      <c r="C277" t="s">
        <v>34</v>
      </c>
      <c r="D277" t="s">
        <v>17</v>
      </c>
      <c r="E277" t="s">
        <v>3</v>
      </c>
      <c r="F277" t="s">
        <v>18</v>
      </c>
      <c r="G277">
        <v>235.46</v>
      </c>
      <c r="H277">
        <v>7</v>
      </c>
      <c r="I277">
        <v>-7.4</v>
      </c>
    </row>
    <row r="278" spans="1:9" x14ac:dyDescent="0.35">
      <c r="A278" t="s">
        <v>352</v>
      </c>
      <c r="B278" t="s">
        <v>353</v>
      </c>
      <c r="C278" t="s">
        <v>22</v>
      </c>
      <c r="D278" t="s">
        <v>38</v>
      </c>
      <c r="E278" t="s">
        <v>4</v>
      </c>
      <c r="F278" t="s">
        <v>24</v>
      </c>
      <c r="G278">
        <v>154.37</v>
      </c>
      <c r="H278">
        <v>8</v>
      </c>
      <c r="I278">
        <v>37.36</v>
      </c>
    </row>
    <row r="279" spans="1:9" x14ac:dyDescent="0.35">
      <c r="A279" t="s">
        <v>354</v>
      </c>
      <c r="B279" t="s">
        <v>353</v>
      </c>
      <c r="C279" t="s">
        <v>16</v>
      </c>
      <c r="D279" t="s">
        <v>17</v>
      </c>
      <c r="E279" t="s">
        <v>4</v>
      </c>
      <c r="F279" t="s">
        <v>39</v>
      </c>
      <c r="G279">
        <v>51.98</v>
      </c>
      <c r="H279">
        <v>1</v>
      </c>
      <c r="I279">
        <v>13.09</v>
      </c>
    </row>
    <row r="280" spans="1:9" x14ac:dyDescent="0.35">
      <c r="A280" t="s">
        <v>355</v>
      </c>
      <c r="B280" t="s">
        <v>353</v>
      </c>
      <c r="C280" t="s">
        <v>34</v>
      </c>
      <c r="D280" t="s">
        <v>17</v>
      </c>
      <c r="E280" t="s">
        <v>4</v>
      </c>
      <c r="F280" t="s">
        <v>20</v>
      </c>
      <c r="G280">
        <v>184.8</v>
      </c>
      <c r="H280">
        <v>2</v>
      </c>
      <c r="I280">
        <v>16.739999999999998</v>
      </c>
    </row>
    <row r="281" spans="1:9" x14ac:dyDescent="0.35">
      <c r="A281" t="s">
        <v>356</v>
      </c>
      <c r="B281" t="s">
        <v>353</v>
      </c>
      <c r="C281" t="s">
        <v>34</v>
      </c>
      <c r="D281" t="s">
        <v>38</v>
      </c>
      <c r="E281" t="s">
        <v>4</v>
      </c>
      <c r="F281" t="s">
        <v>24</v>
      </c>
      <c r="G281">
        <v>166.48</v>
      </c>
      <c r="H281">
        <v>7</v>
      </c>
      <c r="I281">
        <v>14.71</v>
      </c>
    </row>
    <row r="282" spans="1:9" x14ac:dyDescent="0.35">
      <c r="A282" t="s">
        <v>357</v>
      </c>
      <c r="B282" t="s">
        <v>353</v>
      </c>
      <c r="C282" t="s">
        <v>26</v>
      </c>
      <c r="D282" t="s">
        <v>17</v>
      </c>
      <c r="E282" t="s">
        <v>4</v>
      </c>
      <c r="F282" t="s">
        <v>20</v>
      </c>
      <c r="G282">
        <v>158.37</v>
      </c>
      <c r="H282">
        <v>2</v>
      </c>
      <c r="I282">
        <v>7.28</v>
      </c>
    </row>
    <row r="283" spans="1:9" x14ac:dyDescent="0.35">
      <c r="A283" t="s">
        <v>358</v>
      </c>
      <c r="B283" t="s">
        <v>353</v>
      </c>
      <c r="C283" t="s">
        <v>34</v>
      </c>
      <c r="D283" t="s">
        <v>17</v>
      </c>
      <c r="E283" t="s">
        <v>3</v>
      </c>
      <c r="F283" t="s">
        <v>18</v>
      </c>
      <c r="G283">
        <v>120.94</v>
      </c>
      <c r="H283">
        <v>7</v>
      </c>
      <c r="I283">
        <v>2.4</v>
      </c>
    </row>
    <row r="284" spans="1:9" x14ac:dyDescent="0.35">
      <c r="A284" t="s">
        <v>359</v>
      </c>
      <c r="B284" t="s">
        <v>360</v>
      </c>
      <c r="C284" t="s">
        <v>34</v>
      </c>
      <c r="D284" t="s">
        <v>17</v>
      </c>
      <c r="E284" t="s">
        <v>3</v>
      </c>
      <c r="F284" t="s">
        <v>18</v>
      </c>
      <c r="G284">
        <v>132.83000000000001</v>
      </c>
      <c r="H284">
        <v>9</v>
      </c>
      <c r="I284">
        <v>12.6</v>
      </c>
    </row>
    <row r="285" spans="1:9" x14ac:dyDescent="0.35">
      <c r="A285" t="s">
        <v>361</v>
      </c>
      <c r="B285" t="s">
        <v>360</v>
      </c>
      <c r="C285" t="s">
        <v>22</v>
      </c>
      <c r="D285" t="s">
        <v>17</v>
      </c>
      <c r="E285" t="s">
        <v>5</v>
      </c>
      <c r="F285" t="s">
        <v>31</v>
      </c>
      <c r="G285">
        <v>81.069999999999993</v>
      </c>
      <c r="H285">
        <v>2</v>
      </c>
      <c r="I285">
        <v>17.71</v>
      </c>
    </row>
    <row r="286" spans="1:9" x14ac:dyDescent="0.35">
      <c r="A286" t="s">
        <v>362</v>
      </c>
      <c r="B286" t="s">
        <v>360</v>
      </c>
      <c r="C286" t="s">
        <v>16</v>
      </c>
      <c r="D286" t="s">
        <v>23</v>
      </c>
      <c r="E286" t="s">
        <v>3</v>
      </c>
      <c r="F286" t="s">
        <v>49</v>
      </c>
      <c r="G286">
        <v>129.88</v>
      </c>
      <c r="H286">
        <v>7</v>
      </c>
      <c r="I286">
        <v>-9.6300000000000008</v>
      </c>
    </row>
    <row r="287" spans="1:9" x14ac:dyDescent="0.35">
      <c r="A287" t="s">
        <v>363</v>
      </c>
      <c r="B287" t="s">
        <v>360</v>
      </c>
      <c r="C287" t="s">
        <v>26</v>
      </c>
      <c r="D287" t="s">
        <v>38</v>
      </c>
      <c r="E287" t="s">
        <v>5</v>
      </c>
      <c r="F287" t="s">
        <v>41</v>
      </c>
      <c r="G287">
        <v>53.01</v>
      </c>
      <c r="H287">
        <v>4</v>
      </c>
      <c r="I287">
        <v>21.03</v>
      </c>
    </row>
    <row r="288" spans="1:9" x14ac:dyDescent="0.35">
      <c r="A288" t="s">
        <v>364</v>
      </c>
      <c r="B288" t="s">
        <v>360</v>
      </c>
      <c r="C288" t="s">
        <v>22</v>
      </c>
      <c r="D288" t="s">
        <v>17</v>
      </c>
      <c r="E288" t="s">
        <v>3</v>
      </c>
      <c r="F288" t="s">
        <v>27</v>
      </c>
      <c r="G288">
        <v>265.35000000000002</v>
      </c>
      <c r="H288">
        <v>2</v>
      </c>
      <c r="I288">
        <v>0.15</v>
      </c>
    </row>
    <row r="289" spans="1:9" x14ac:dyDescent="0.35">
      <c r="A289" t="s">
        <v>365</v>
      </c>
      <c r="B289" t="s">
        <v>360</v>
      </c>
      <c r="C289" t="s">
        <v>34</v>
      </c>
      <c r="D289" t="s">
        <v>23</v>
      </c>
      <c r="E289" t="s">
        <v>3</v>
      </c>
      <c r="F289" t="s">
        <v>18</v>
      </c>
      <c r="G289">
        <v>50.83</v>
      </c>
      <c r="H289">
        <v>7</v>
      </c>
      <c r="I289">
        <v>-0.32</v>
      </c>
    </row>
    <row r="290" spans="1:9" x14ac:dyDescent="0.35">
      <c r="A290" t="s">
        <v>366</v>
      </c>
      <c r="B290" t="s">
        <v>367</v>
      </c>
      <c r="C290" t="s">
        <v>34</v>
      </c>
      <c r="D290" t="s">
        <v>23</v>
      </c>
      <c r="E290" t="s">
        <v>5</v>
      </c>
      <c r="F290" t="s">
        <v>31</v>
      </c>
      <c r="G290">
        <v>33.32</v>
      </c>
      <c r="H290">
        <v>5</v>
      </c>
      <c r="I290">
        <v>4.3600000000000003</v>
      </c>
    </row>
    <row r="291" spans="1:9" x14ac:dyDescent="0.35">
      <c r="A291" t="s">
        <v>368</v>
      </c>
      <c r="B291" t="s">
        <v>367</v>
      </c>
      <c r="C291" t="s">
        <v>26</v>
      </c>
      <c r="D291" t="s">
        <v>17</v>
      </c>
      <c r="E291" t="s">
        <v>3</v>
      </c>
      <c r="F291" t="s">
        <v>27</v>
      </c>
      <c r="G291">
        <v>105.97</v>
      </c>
      <c r="H291">
        <v>1</v>
      </c>
      <c r="I291">
        <v>1.89</v>
      </c>
    </row>
    <row r="292" spans="1:9" x14ac:dyDescent="0.35">
      <c r="A292" t="s">
        <v>369</v>
      </c>
      <c r="B292" t="s">
        <v>367</v>
      </c>
      <c r="C292" t="s">
        <v>16</v>
      </c>
      <c r="D292" t="s">
        <v>23</v>
      </c>
      <c r="E292" t="s">
        <v>5</v>
      </c>
      <c r="F292" t="s">
        <v>31</v>
      </c>
      <c r="G292">
        <v>181.08</v>
      </c>
      <c r="H292">
        <v>5</v>
      </c>
      <c r="I292">
        <v>28.45</v>
      </c>
    </row>
    <row r="293" spans="1:9" x14ac:dyDescent="0.35">
      <c r="A293" t="s">
        <v>370</v>
      </c>
      <c r="B293" t="s">
        <v>367</v>
      </c>
      <c r="C293" t="s">
        <v>26</v>
      </c>
      <c r="D293" t="s">
        <v>17</v>
      </c>
      <c r="E293" t="s">
        <v>5</v>
      </c>
      <c r="F293" t="s">
        <v>29</v>
      </c>
      <c r="G293">
        <v>106.36</v>
      </c>
      <c r="H293">
        <v>3</v>
      </c>
      <c r="I293">
        <v>14.53</v>
      </c>
    </row>
    <row r="294" spans="1:9" x14ac:dyDescent="0.35">
      <c r="A294" t="s">
        <v>371</v>
      </c>
      <c r="B294" t="s">
        <v>367</v>
      </c>
      <c r="C294" t="s">
        <v>22</v>
      </c>
      <c r="D294" t="s">
        <v>17</v>
      </c>
      <c r="E294" t="s">
        <v>4</v>
      </c>
      <c r="F294" t="s">
        <v>24</v>
      </c>
      <c r="G294">
        <v>68.599999999999994</v>
      </c>
      <c r="H294">
        <v>7</v>
      </c>
      <c r="I294">
        <v>7.91</v>
      </c>
    </row>
    <row r="295" spans="1:9" x14ac:dyDescent="0.35">
      <c r="A295" t="s">
        <v>372</v>
      </c>
      <c r="B295" t="s">
        <v>367</v>
      </c>
      <c r="C295" t="s">
        <v>26</v>
      </c>
      <c r="D295" t="s">
        <v>17</v>
      </c>
      <c r="E295" t="s">
        <v>3</v>
      </c>
      <c r="F295" t="s">
        <v>18</v>
      </c>
      <c r="G295">
        <v>142.52000000000001</v>
      </c>
      <c r="H295">
        <v>6</v>
      </c>
      <c r="I295">
        <v>-15.47</v>
      </c>
    </row>
    <row r="296" spans="1:9" x14ac:dyDescent="0.35">
      <c r="A296" t="s">
        <v>373</v>
      </c>
      <c r="B296" t="s">
        <v>374</v>
      </c>
      <c r="C296" t="s">
        <v>34</v>
      </c>
      <c r="D296" t="s">
        <v>17</v>
      </c>
      <c r="E296" t="s">
        <v>5</v>
      </c>
      <c r="F296" t="s">
        <v>31</v>
      </c>
      <c r="G296">
        <v>83.93</v>
      </c>
      <c r="H296">
        <v>8</v>
      </c>
      <c r="I296">
        <v>19.12</v>
      </c>
    </row>
    <row r="297" spans="1:9" x14ac:dyDescent="0.35">
      <c r="A297" t="s">
        <v>375</v>
      </c>
      <c r="B297" t="s">
        <v>374</v>
      </c>
      <c r="C297" t="s">
        <v>22</v>
      </c>
      <c r="D297" t="s">
        <v>17</v>
      </c>
      <c r="E297" t="s">
        <v>3</v>
      </c>
      <c r="F297" t="s">
        <v>49</v>
      </c>
      <c r="G297">
        <v>425.16</v>
      </c>
      <c r="H297">
        <v>5</v>
      </c>
      <c r="I297">
        <v>-82.52</v>
      </c>
    </row>
    <row r="298" spans="1:9" x14ac:dyDescent="0.35">
      <c r="A298" t="s">
        <v>376</v>
      </c>
      <c r="B298" t="s">
        <v>374</v>
      </c>
      <c r="C298" t="s">
        <v>34</v>
      </c>
      <c r="D298" t="s">
        <v>38</v>
      </c>
      <c r="E298" t="s">
        <v>4</v>
      </c>
      <c r="F298" t="s">
        <v>24</v>
      </c>
      <c r="G298">
        <v>403.9</v>
      </c>
      <c r="H298">
        <v>2</v>
      </c>
      <c r="I298">
        <v>99.31</v>
      </c>
    </row>
    <row r="299" spans="1:9" x14ac:dyDescent="0.35">
      <c r="A299" t="s">
        <v>377</v>
      </c>
      <c r="B299" t="s">
        <v>374</v>
      </c>
      <c r="C299" t="s">
        <v>16</v>
      </c>
      <c r="D299" t="s">
        <v>17</v>
      </c>
      <c r="E299" t="s">
        <v>5</v>
      </c>
      <c r="F299" t="s">
        <v>31</v>
      </c>
      <c r="G299">
        <v>124.69</v>
      </c>
      <c r="H299">
        <v>9</v>
      </c>
      <c r="I299">
        <v>45.23</v>
      </c>
    </row>
    <row r="300" spans="1:9" x14ac:dyDescent="0.35">
      <c r="A300" t="s">
        <v>378</v>
      </c>
      <c r="B300" t="s">
        <v>374</v>
      </c>
      <c r="C300" t="s">
        <v>34</v>
      </c>
      <c r="D300" t="s">
        <v>17</v>
      </c>
      <c r="E300" t="s">
        <v>4</v>
      </c>
      <c r="F300" t="s">
        <v>39</v>
      </c>
      <c r="G300">
        <v>79.599999999999994</v>
      </c>
      <c r="H300">
        <v>8</v>
      </c>
      <c r="I300">
        <v>-3.56</v>
      </c>
    </row>
    <row r="301" spans="1:9" x14ac:dyDescent="0.35">
      <c r="A301" t="s">
        <v>379</v>
      </c>
      <c r="B301" t="s">
        <v>374</v>
      </c>
      <c r="C301" t="s">
        <v>34</v>
      </c>
      <c r="D301" t="s">
        <v>17</v>
      </c>
      <c r="E301" t="s">
        <v>5</v>
      </c>
      <c r="F301" t="s">
        <v>29</v>
      </c>
      <c r="G301">
        <v>220.42</v>
      </c>
      <c r="H301">
        <v>6</v>
      </c>
      <c r="I301">
        <v>76.67</v>
      </c>
    </row>
    <row r="302" spans="1:9" x14ac:dyDescent="0.35">
      <c r="A302" t="s">
        <v>380</v>
      </c>
      <c r="B302" t="s">
        <v>381</v>
      </c>
      <c r="C302" t="s">
        <v>26</v>
      </c>
      <c r="D302" t="s">
        <v>23</v>
      </c>
      <c r="E302" t="s">
        <v>5</v>
      </c>
      <c r="F302" t="s">
        <v>29</v>
      </c>
      <c r="G302">
        <v>25.61</v>
      </c>
      <c r="H302">
        <v>7</v>
      </c>
      <c r="I302">
        <v>4.33</v>
      </c>
    </row>
    <row r="303" spans="1:9" x14ac:dyDescent="0.35">
      <c r="A303" t="s">
        <v>382</v>
      </c>
      <c r="B303" t="s">
        <v>381</v>
      </c>
      <c r="C303" t="s">
        <v>34</v>
      </c>
      <c r="D303" t="s">
        <v>23</v>
      </c>
      <c r="E303" t="s">
        <v>3</v>
      </c>
      <c r="F303" t="s">
        <v>27</v>
      </c>
      <c r="G303">
        <v>116.59</v>
      </c>
      <c r="H303">
        <v>9</v>
      </c>
      <c r="I303">
        <v>4.16</v>
      </c>
    </row>
    <row r="304" spans="1:9" x14ac:dyDescent="0.35">
      <c r="A304" t="s">
        <v>383</v>
      </c>
      <c r="B304" t="s">
        <v>381</v>
      </c>
      <c r="C304" t="s">
        <v>22</v>
      </c>
      <c r="D304" t="s">
        <v>23</v>
      </c>
      <c r="E304" t="s">
        <v>3</v>
      </c>
      <c r="F304" t="s">
        <v>49</v>
      </c>
      <c r="G304">
        <v>81.489999999999995</v>
      </c>
      <c r="H304">
        <v>7</v>
      </c>
      <c r="I304">
        <v>-4.63</v>
      </c>
    </row>
    <row r="305" spans="1:9" x14ac:dyDescent="0.35">
      <c r="A305" t="s">
        <v>384</v>
      </c>
      <c r="B305" t="s">
        <v>381</v>
      </c>
      <c r="C305" t="s">
        <v>22</v>
      </c>
      <c r="D305" t="s">
        <v>23</v>
      </c>
      <c r="E305" t="s">
        <v>4</v>
      </c>
      <c r="F305" t="s">
        <v>20</v>
      </c>
      <c r="G305">
        <v>399.87</v>
      </c>
      <c r="H305">
        <v>3</v>
      </c>
      <c r="I305">
        <v>61.13</v>
      </c>
    </row>
    <row r="306" spans="1:9" x14ac:dyDescent="0.35">
      <c r="A306" t="s">
        <v>385</v>
      </c>
      <c r="B306" t="s">
        <v>381</v>
      </c>
      <c r="C306" t="s">
        <v>16</v>
      </c>
      <c r="D306" t="s">
        <v>38</v>
      </c>
      <c r="E306" t="s">
        <v>4</v>
      </c>
      <c r="F306" t="s">
        <v>24</v>
      </c>
      <c r="G306">
        <v>21.81</v>
      </c>
      <c r="H306">
        <v>6</v>
      </c>
      <c r="I306">
        <v>2.87</v>
      </c>
    </row>
    <row r="307" spans="1:9" x14ac:dyDescent="0.35">
      <c r="A307" t="s">
        <v>386</v>
      </c>
      <c r="B307" t="s">
        <v>381</v>
      </c>
      <c r="C307" t="s">
        <v>22</v>
      </c>
      <c r="D307" t="s">
        <v>17</v>
      </c>
      <c r="E307" t="s">
        <v>4</v>
      </c>
      <c r="F307" t="s">
        <v>39</v>
      </c>
      <c r="G307">
        <v>140.72</v>
      </c>
      <c r="H307">
        <v>7</v>
      </c>
      <c r="I307">
        <v>38.17</v>
      </c>
    </row>
    <row r="308" spans="1:9" x14ac:dyDescent="0.35">
      <c r="A308" t="s">
        <v>387</v>
      </c>
      <c r="B308" t="s">
        <v>388</v>
      </c>
      <c r="C308" t="s">
        <v>26</v>
      </c>
      <c r="D308" t="s">
        <v>23</v>
      </c>
      <c r="E308" t="s">
        <v>3</v>
      </c>
      <c r="F308" t="s">
        <v>18</v>
      </c>
      <c r="G308">
        <v>222.44</v>
      </c>
      <c r="H308">
        <v>2</v>
      </c>
      <c r="I308">
        <v>-38.700000000000003</v>
      </c>
    </row>
    <row r="309" spans="1:9" x14ac:dyDescent="0.35">
      <c r="A309" t="s">
        <v>389</v>
      </c>
      <c r="B309" t="s">
        <v>388</v>
      </c>
      <c r="C309" t="s">
        <v>16</v>
      </c>
      <c r="D309" t="s">
        <v>38</v>
      </c>
      <c r="E309" t="s">
        <v>3</v>
      </c>
      <c r="F309" t="s">
        <v>18</v>
      </c>
      <c r="G309">
        <v>119.54</v>
      </c>
      <c r="H309">
        <v>3</v>
      </c>
      <c r="I309">
        <v>1.29</v>
      </c>
    </row>
    <row r="310" spans="1:9" x14ac:dyDescent="0.35">
      <c r="A310" t="s">
        <v>390</v>
      </c>
      <c r="B310" t="s">
        <v>388</v>
      </c>
      <c r="C310" t="s">
        <v>22</v>
      </c>
      <c r="D310" t="s">
        <v>38</v>
      </c>
      <c r="E310" t="s">
        <v>4</v>
      </c>
      <c r="F310" t="s">
        <v>39</v>
      </c>
      <c r="G310">
        <v>33.39</v>
      </c>
      <c r="H310">
        <v>4</v>
      </c>
      <c r="I310">
        <v>8.69</v>
      </c>
    </row>
    <row r="311" spans="1:9" x14ac:dyDescent="0.35">
      <c r="A311" t="s">
        <v>391</v>
      </c>
      <c r="B311" t="s">
        <v>388</v>
      </c>
      <c r="C311" t="s">
        <v>26</v>
      </c>
      <c r="D311" t="s">
        <v>38</v>
      </c>
      <c r="E311" t="s">
        <v>5</v>
      </c>
      <c r="F311" t="s">
        <v>41</v>
      </c>
      <c r="G311">
        <v>558.82000000000005</v>
      </c>
      <c r="H311">
        <v>6</v>
      </c>
      <c r="I311">
        <v>179.74</v>
      </c>
    </row>
    <row r="312" spans="1:9" x14ac:dyDescent="0.35">
      <c r="A312" t="s">
        <v>392</v>
      </c>
      <c r="B312" t="s">
        <v>388</v>
      </c>
      <c r="C312" t="s">
        <v>22</v>
      </c>
      <c r="D312" t="s">
        <v>17</v>
      </c>
      <c r="E312" t="s">
        <v>3</v>
      </c>
      <c r="F312" t="s">
        <v>49</v>
      </c>
      <c r="G312">
        <v>129.47</v>
      </c>
      <c r="H312">
        <v>1</v>
      </c>
      <c r="I312">
        <v>23.62</v>
      </c>
    </row>
    <row r="313" spans="1:9" x14ac:dyDescent="0.35">
      <c r="A313" t="s">
        <v>393</v>
      </c>
      <c r="B313" t="s">
        <v>388</v>
      </c>
      <c r="C313" t="s">
        <v>22</v>
      </c>
      <c r="D313" t="s">
        <v>17</v>
      </c>
      <c r="E313" t="s">
        <v>5</v>
      </c>
      <c r="F313" t="s">
        <v>41</v>
      </c>
      <c r="G313">
        <v>162.86000000000001</v>
      </c>
      <c r="H313">
        <v>9</v>
      </c>
      <c r="I313">
        <v>32.1</v>
      </c>
    </row>
    <row r="314" spans="1:9" x14ac:dyDescent="0.35">
      <c r="A314" t="s">
        <v>394</v>
      </c>
      <c r="B314" t="s">
        <v>395</v>
      </c>
      <c r="C314" t="s">
        <v>34</v>
      </c>
      <c r="D314" t="s">
        <v>17</v>
      </c>
      <c r="E314" t="s">
        <v>5</v>
      </c>
      <c r="F314" t="s">
        <v>31</v>
      </c>
      <c r="G314">
        <v>60.5</v>
      </c>
      <c r="H314">
        <v>5</v>
      </c>
      <c r="I314">
        <v>20.92</v>
      </c>
    </row>
    <row r="315" spans="1:9" x14ac:dyDescent="0.35">
      <c r="A315" t="s">
        <v>396</v>
      </c>
      <c r="B315" t="s">
        <v>395</v>
      </c>
      <c r="C315" t="s">
        <v>22</v>
      </c>
      <c r="D315" t="s">
        <v>23</v>
      </c>
      <c r="E315" t="s">
        <v>4</v>
      </c>
      <c r="F315" t="s">
        <v>39</v>
      </c>
      <c r="G315">
        <v>119.1</v>
      </c>
      <c r="H315">
        <v>7</v>
      </c>
      <c r="I315">
        <v>16.600000000000001</v>
      </c>
    </row>
    <row r="316" spans="1:9" x14ac:dyDescent="0.35">
      <c r="A316" t="s">
        <v>397</v>
      </c>
      <c r="B316" t="s">
        <v>395</v>
      </c>
      <c r="C316" t="s">
        <v>22</v>
      </c>
      <c r="D316" t="s">
        <v>17</v>
      </c>
      <c r="E316" t="s">
        <v>4</v>
      </c>
      <c r="F316" t="s">
        <v>20</v>
      </c>
      <c r="G316">
        <v>104.09</v>
      </c>
      <c r="H316">
        <v>9</v>
      </c>
      <c r="I316">
        <v>28.45</v>
      </c>
    </row>
    <row r="317" spans="1:9" x14ac:dyDescent="0.35">
      <c r="A317" t="s">
        <v>398</v>
      </c>
      <c r="B317" t="s">
        <v>395</v>
      </c>
      <c r="C317" t="s">
        <v>26</v>
      </c>
      <c r="D317" t="s">
        <v>17</v>
      </c>
      <c r="E317" t="s">
        <v>4</v>
      </c>
      <c r="F317" t="s">
        <v>20</v>
      </c>
      <c r="G317">
        <v>31.68</v>
      </c>
      <c r="H317">
        <v>9</v>
      </c>
      <c r="I317">
        <v>4.7300000000000004</v>
      </c>
    </row>
    <row r="318" spans="1:9" x14ac:dyDescent="0.35">
      <c r="A318" t="s">
        <v>399</v>
      </c>
      <c r="B318" t="s">
        <v>395</v>
      </c>
      <c r="C318" t="s">
        <v>26</v>
      </c>
      <c r="D318" t="s">
        <v>38</v>
      </c>
      <c r="E318" t="s">
        <v>3</v>
      </c>
      <c r="F318" t="s">
        <v>27</v>
      </c>
      <c r="G318">
        <v>36.83</v>
      </c>
      <c r="H318">
        <v>1</v>
      </c>
      <c r="I318">
        <v>-3.27</v>
      </c>
    </row>
    <row r="319" spans="1:9" x14ac:dyDescent="0.35">
      <c r="A319" t="s">
        <v>400</v>
      </c>
      <c r="B319" t="s">
        <v>395</v>
      </c>
      <c r="C319" t="s">
        <v>34</v>
      </c>
      <c r="D319" t="s">
        <v>17</v>
      </c>
      <c r="E319" t="s">
        <v>5</v>
      </c>
      <c r="F319" t="s">
        <v>29</v>
      </c>
      <c r="G319">
        <v>292.54000000000002</v>
      </c>
      <c r="H319">
        <v>1</v>
      </c>
      <c r="I319">
        <v>111.34</v>
      </c>
    </row>
    <row r="320" spans="1:9" x14ac:dyDescent="0.35">
      <c r="A320" t="s">
        <v>401</v>
      </c>
      <c r="B320" t="s">
        <v>402</v>
      </c>
      <c r="C320" t="s">
        <v>22</v>
      </c>
      <c r="D320" t="s">
        <v>38</v>
      </c>
      <c r="E320" t="s">
        <v>5</v>
      </c>
      <c r="F320" t="s">
        <v>29</v>
      </c>
      <c r="G320">
        <v>61.13</v>
      </c>
      <c r="H320">
        <v>3</v>
      </c>
      <c r="I320">
        <v>12.28</v>
      </c>
    </row>
    <row r="321" spans="1:9" x14ac:dyDescent="0.35">
      <c r="A321" t="s">
        <v>403</v>
      </c>
      <c r="B321" t="s">
        <v>402</v>
      </c>
      <c r="C321" t="s">
        <v>34</v>
      </c>
      <c r="D321" t="s">
        <v>17</v>
      </c>
      <c r="E321" t="s">
        <v>5</v>
      </c>
      <c r="F321" t="s">
        <v>41</v>
      </c>
      <c r="G321">
        <v>52.53</v>
      </c>
      <c r="H321">
        <v>6</v>
      </c>
      <c r="I321">
        <v>5.71</v>
      </c>
    </row>
    <row r="322" spans="1:9" x14ac:dyDescent="0.35">
      <c r="A322" t="s">
        <v>404</v>
      </c>
      <c r="B322" t="s">
        <v>402</v>
      </c>
      <c r="C322" t="s">
        <v>22</v>
      </c>
      <c r="D322" t="s">
        <v>17</v>
      </c>
      <c r="E322" t="s">
        <v>3</v>
      </c>
      <c r="F322" t="s">
        <v>18</v>
      </c>
      <c r="G322">
        <v>125.45</v>
      </c>
      <c r="H322">
        <v>2</v>
      </c>
      <c r="I322">
        <v>-12.76</v>
      </c>
    </row>
    <row r="323" spans="1:9" x14ac:dyDescent="0.35">
      <c r="A323" t="s">
        <v>405</v>
      </c>
      <c r="B323" t="s">
        <v>402</v>
      </c>
      <c r="C323" t="s">
        <v>16</v>
      </c>
      <c r="D323" t="s">
        <v>17</v>
      </c>
      <c r="E323" t="s">
        <v>4</v>
      </c>
      <c r="F323" t="s">
        <v>24</v>
      </c>
      <c r="G323">
        <v>239.64</v>
      </c>
      <c r="H323">
        <v>1</v>
      </c>
      <c r="I323">
        <v>50.78</v>
      </c>
    </row>
    <row r="324" spans="1:9" x14ac:dyDescent="0.35">
      <c r="A324" t="s">
        <v>406</v>
      </c>
      <c r="B324" t="s">
        <v>402</v>
      </c>
      <c r="C324" t="s">
        <v>16</v>
      </c>
      <c r="D324" t="s">
        <v>23</v>
      </c>
      <c r="E324" t="s">
        <v>4</v>
      </c>
      <c r="F324" t="s">
        <v>39</v>
      </c>
      <c r="G324">
        <v>29.59</v>
      </c>
      <c r="H324">
        <v>1</v>
      </c>
      <c r="I324">
        <v>8.56</v>
      </c>
    </row>
    <row r="325" spans="1:9" x14ac:dyDescent="0.35">
      <c r="A325" t="s">
        <v>407</v>
      </c>
      <c r="B325" t="s">
        <v>402</v>
      </c>
      <c r="C325" t="s">
        <v>34</v>
      </c>
      <c r="D325" t="s">
        <v>17</v>
      </c>
      <c r="E325" t="s">
        <v>5</v>
      </c>
      <c r="F325" t="s">
        <v>41</v>
      </c>
      <c r="G325">
        <v>148.99</v>
      </c>
      <c r="H325">
        <v>5</v>
      </c>
      <c r="I325">
        <v>38.9</v>
      </c>
    </row>
    <row r="326" spans="1:9" x14ac:dyDescent="0.35">
      <c r="A326" t="s">
        <v>408</v>
      </c>
      <c r="B326" t="s">
        <v>409</v>
      </c>
      <c r="C326" t="s">
        <v>34</v>
      </c>
      <c r="D326" t="s">
        <v>17</v>
      </c>
      <c r="E326" t="s">
        <v>4</v>
      </c>
      <c r="F326" t="s">
        <v>24</v>
      </c>
      <c r="G326">
        <v>39.04</v>
      </c>
      <c r="H326">
        <v>4</v>
      </c>
      <c r="I326">
        <v>11</v>
      </c>
    </row>
    <row r="327" spans="1:9" x14ac:dyDescent="0.35">
      <c r="A327" t="s">
        <v>410</v>
      </c>
      <c r="B327" t="s">
        <v>409</v>
      </c>
      <c r="C327" t="s">
        <v>34</v>
      </c>
      <c r="D327" t="s">
        <v>38</v>
      </c>
      <c r="E327" t="s">
        <v>4</v>
      </c>
      <c r="F327" t="s">
        <v>39</v>
      </c>
      <c r="G327">
        <v>25.57</v>
      </c>
      <c r="H327">
        <v>1</v>
      </c>
      <c r="I327">
        <v>0.36</v>
      </c>
    </row>
    <row r="328" spans="1:9" x14ac:dyDescent="0.35">
      <c r="A328" t="s">
        <v>411</v>
      </c>
      <c r="B328" t="s">
        <v>409</v>
      </c>
      <c r="C328" t="s">
        <v>26</v>
      </c>
      <c r="D328" t="s">
        <v>17</v>
      </c>
      <c r="E328" t="s">
        <v>3</v>
      </c>
      <c r="F328" t="s">
        <v>49</v>
      </c>
      <c r="G328">
        <v>28.13</v>
      </c>
      <c r="H328">
        <v>4</v>
      </c>
      <c r="I328">
        <v>-2.65</v>
      </c>
    </row>
    <row r="329" spans="1:9" x14ac:dyDescent="0.35">
      <c r="A329" t="s">
        <v>412</v>
      </c>
      <c r="B329" t="s">
        <v>409</v>
      </c>
      <c r="C329" t="s">
        <v>26</v>
      </c>
      <c r="D329" t="s">
        <v>23</v>
      </c>
      <c r="E329" t="s">
        <v>4</v>
      </c>
      <c r="F329" t="s">
        <v>24</v>
      </c>
      <c r="G329">
        <v>289.51</v>
      </c>
      <c r="H329">
        <v>3</v>
      </c>
      <c r="I329">
        <v>35.07</v>
      </c>
    </row>
    <row r="330" spans="1:9" x14ac:dyDescent="0.35">
      <c r="A330" t="s">
        <v>413</v>
      </c>
      <c r="B330" t="s">
        <v>409</v>
      </c>
      <c r="C330" t="s">
        <v>26</v>
      </c>
      <c r="D330" t="s">
        <v>23</v>
      </c>
      <c r="E330" t="s">
        <v>3</v>
      </c>
      <c r="F330" t="s">
        <v>49</v>
      </c>
      <c r="G330">
        <v>38.83</v>
      </c>
      <c r="H330">
        <v>2</v>
      </c>
      <c r="I330">
        <v>-2.39</v>
      </c>
    </row>
    <row r="331" spans="1:9" x14ac:dyDescent="0.35">
      <c r="A331" t="s">
        <v>414</v>
      </c>
      <c r="B331" t="s">
        <v>409</v>
      </c>
      <c r="C331" t="s">
        <v>34</v>
      </c>
      <c r="D331" t="s">
        <v>17</v>
      </c>
      <c r="E331" t="s">
        <v>5</v>
      </c>
      <c r="F331" t="s">
        <v>31</v>
      </c>
      <c r="G331">
        <v>26.93</v>
      </c>
      <c r="H331">
        <v>9</v>
      </c>
      <c r="I331">
        <v>6.96</v>
      </c>
    </row>
    <row r="332" spans="1:9" x14ac:dyDescent="0.35">
      <c r="A332" t="s">
        <v>415</v>
      </c>
      <c r="B332" t="s">
        <v>416</v>
      </c>
      <c r="C332" t="s">
        <v>22</v>
      </c>
      <c r="D332" t="s">
        <v>23</v>
      </c>
      <c r="E332" t="s">
        <v>3</v>
      </c>
      <c r="F332" t="s">
        <v>27</v>
      </c>
      <c r="G332">
        <v>106.41</v>
      </c>
      <c r="H332">
        <v>1</v>
      </c>
      <c r="I332">
        <v>2.0299999999999998</v>
      </c>
    </row>
    <row r="333" spans="1:9" x14ac:dyDescent="0.35">
      <c r="A333" t="s">
        <v>417</v>
      </c>
      <c r="B333" t="s">
        <v>416</v>
      </c>
      <c r="C333" t="s">
        <v>16</v>
      </c>
      <c r="D333" t="s">
        <v>17</v>
      </c>
      <c r="E333" t="s">
        <v>4</v>
      </c>
      <c r="F333" t="s">
        <v>20</v>
      </c>
      <c r="G333">
        <v>298.68</v>
      </c>
      <c r="H333">
        <v>7</v>
      </c>
      <c r="I333">
        <v>31.52</v>
      </c>
    </row>
    <row r="334" spans="1:9" x14ac:dyDescent="0.35">
      <c r="A334" t="s">
        <v>418</v>
      </c>
      <c r="B334" t="s">
        <v>416</v>
      </c>
      <c r="C334" t="s">
        <v>34</v>
      </c>
      <c r="D334" t="s">
        <v>23</v>
      </c>
      <c r="E334" t="s">
        <v>5</v>
      </c>
      <c r="F334" t="s">
        <v>29</v>
      </c>
      <c r="G334">
        <v>65.650000000000006</v>
      </c>
      <c r="H334">
        <v>4</v>
      </c>
      <c r="I334">
        <v>17.329999999999998</v>
      </c>
    </row>
    <row r="335" spans="1:9" x14ac:dyDescent="0.35">
      <c r="A335" t="s">
        <v>419</v>
      </c>
      <c r="B335" t="s">
        <v>416</v>
      </c>
      <c r="C335" t="s">
        <v>26</v>
      </c>
      <c r="D335" t="s">
        <v>17</v>
      </c>
      <c r="E335" t="s">
        <v>5</v>
      </c>
      <c r="F335" t="s">
        <v>41</v>
      </c>
      <c r="G335">
        <v>102.15</v>
      </c>
      <c r="H335">
        <v>5</v>
      </c>
      <c r="I335">
        <v>25.08</v>
      </c>
    </row>
    <row r="336" spans="1:9" x14ac:dyDescent="0.35">
      <c r="A336" t="s">
        <v>420</v>
      </c>
      <c r="B336" t="s">
        <v>416</v>
      </c>
      <c r="C336" t="s">
        <v>26</v>
      </c>
      <c r="D336" t="s">
        <v>23</v>
      </c>
      <c r="E336" t="s">
        <v>5</v>
      </c>
      <c r="F336" t="s">
        <v>41</v>
      </c>
      <c r="G336">
        <v>26.11</v>
      </c>
      <c r="H336">
        <v>5</v>
      </c>
      <c r="I336">
        <v>4.1100000000000003</v>
      </c>
    </row>
    <row r="337" spans="1:9" x14ac:dyDescent="0.35">
      <c r="A337" t="s">
        <v>421</v>
      </c>
      <c r="B337" t="s">
        <v>416</v>
      </c>
      <c r="C337" t="s">
        <v>34</v>
      </c>
      <c r="D337" t="s">
        <v>17</v>
      </c>
      <c r="E337" t="s">
        <v>5</v>
      </c>
      <c r="F337" t="s">
        <v>31</v>
      </c>
      <c r="G337">
        <v>109.42</v>
      </c>
      <c r="H337">
        <v>1</v>
      </c>
      <c r="I337">
        <v>26.11</v>
      </c>
    </row>
    <row r="338" spans="1:9" x14ac:dyDescent="0.35">
      <c r="A338" t="s">
        <v>422</v>
      </c>
      <c r="B338" t="s">
        <v>423</v>
      </c>
      <c r="C338" t="s">
        <v>34</v>
      </c>
      <c r="D338" t="s">
        <v>23</v>
      </c>
      <c r="E338" t="s">
        <v>4</v>
      </c>
      <c r="F338" t="s">
        <v>39</v>
      </c>
      <c r="G338">
        <v>149.28</v>
      </c>
      <c r="H338">
        <v>6</v>
      </c>
      <c r="I338">
        <v>20.25</v>
      </c>
    </row>
    <row r="339" spans="1:9" x14ac:dyDescent="0.35">
      <c r="A339" t="s">
        <v>424</v>
      </c>
      <c r="B339" t="s">
        <v>423</v>
      </c>
      <c r="C339" t="s">
        <v>26</v>
      </c>
      <c r="D339" t="s">
        <v>17</v>
      </c>
      <c r="E339" t="s">
        <v>4</v>
      </c>
      <c r="F339" t="s">
        <v>24</v>
      </c>
      <c r="G339">
        <v>146.91</v>
      </c>
      <c r="H339">
        <v>9</v>
      </c>
      <c r="I339">
        <v>19.61</v>
      </c>
    </row>
    <row r="340" spans="1:9" x14ac:dyDescent="0.35">
      <c r="A340" t="s">
        <v>425</v>
      </c>
      <c r="B340" t="s">
        <v>423</v>
      </c>
      <c r="C340" t="s">
        <v>22</v>
      </c>
      <c r="D340" t="s">
        <v>17</v>
      </c>
      <c r="E340" t="s">
        <v>3</v>
      </c>
      <c r="F340" t="s">
        <v>27</v>
      </c>
      <c r="G340">
        <v>80.62</v>
      </c>
      <c r="H340">
        <v>2</v>
      </c>
      <c r="I340">
        <v>-3.77</v>
      </c>
    </row>
    <row r="341" spans="1:9" x14ac:dyDescent="0.35">
      <c r="A341" t="s">
        <v>426</v>
      </c>
      <c r="B341" t="s">
        <v>423</v>
      </c>
      <c r="C341" t="s">
        <v>26</v>
      </c>
      <c r="D341" t="s">
        <v>17</v>
      </c>
      <c r="E341" t="s">
        <v>5</v>
      </c>
      <c r="F341" t="s">
        <v>41</v>
      </c>
      <c r="G341">
        <v>76.87</v>
      </c>
      <c r="H341">
        <v>7</v>
      </c>
      <c r="I341">
        <v>19.8</v>
      </c>
    </row>
    <row r="342" spans="1:9" x14ac:dyDescent="0.35">
      <c r="A342" t="s">
        <v>427</v>
      </c>
      <c r="B342" t="s">
        <v>423</v>
      </c>
      <c r="C342" t="s">
        <v>26</v>
      </c>
      <c r="D342" t="s">
        <v>17</v>
      </c>
      <c r="E342" t="s">
        <v>3</v>
      </c>
      <c r="F342" t="s">
        <v>27</v>
      </c>
      <c r="G342">
        <v>36.909999999999997</v>
      </c>
      <c r="H342">
        <v>6</v>
      </c>
      <c r="I342">
        <v>-3.44</v>
      </c>
    </row>
    <row r="343" spans="1:9" x14ac:dyDescent="0.35">
      <c r="A343" t="s">
        <v>428</v>
      </c>
      <c r="B343" t="s">
        <v>423</v>
      </c>
      <c r="C343" t="s">
        <v>34</v>
      </c>
      <c r="D343" t="s">
        <v>38</v>
      </c>
      <c r="E343" t="s">
        <v>3</v>
      </c>
      <c r="F343" t="s">
        <v>18</v>
      </c>
      <c r="G343">
        <v>88.54</v>
      </c>
      <c r="H343">
        <v>5</v>
      </c>
      <c r="I343">
        <v>6.84</v>
      </c>
    </row>
    <row r="344" spans="1:9" x14ac:dyDescent="0.35">
      <c r="A344" t="s">
        <v>429</v>
      </c>
      <c r="B344" t="s">
        <v>430</v>
      </c>
      <c r="C344" t="s">
        <v>22</v>
      </c>
      <c r="D344" t="s">
        <v>17</v>
      </c>
      <c r="E344" t="s">
        <v>5</v>
      </c>
      <c r="F344" t="s">
        <v>41</v>
      </c>
      <c r="G344">
        <v>35.72</v>
      </c>
      <c r="H344">
        <v>4</v>
      </c>
      <c r="I344">
        <v>4.75</v>
      </c>
    </row>
    <row r="345" spans="1:9" x14ac:dyDescent="0.35">
      <c r="A345" t="s">
        <v>431</v>
      </c>
      <c r="B345" t="s">
        <v>430</v>
      </c>
      <c r="C345" t="s">
        <v>26</v>
      </c>
      <c r="D345" t="s">
        <v>38</v>
      </c>
      <c r="E345" t="s">
        <v>3</v>
      </c>
      <c r="F345" t="s">
        <v>18</v>
      </c>
      <c r="G345">
        <v>238.25</v>
      </c>
      <c r="H345">
        <v>4</v>
      </c>
      <c r="I345">
        <v>-29.09</v>
      </c>
    </row>
    <row r="346" spans="1:9" x14ac:dyDescent="0.35">
      <c r="A346" t="s">
        <v>432</v>
      </c>
      <c r="B346" t="s">
        <v>430</v>
      </c>
      <c r="C346" t="s">
        <v>26</v>
      </c>
      <c r="D346" t="s">
        <v>38</v>
      </c>
      <c r="E346" t="s">
        <v>3</v>
      </c>
      <c r="F346" t="s">
        <v>49</v>
      </c>
      <c r="G346">
        <v>528.41999999999996</v>
      </c>
      <c r="H346">
        <v>6</v>
      </c>
      <c r="I346">
        <v>120.48</v>
      </c>
    </row>
    <row r="347" spans="1:9" x14ac:dyDescent="0.35">
      <c r="A347" t="s">
        <v>433</v>
      </c>
      <c r="B347" t="s">
        <v>430</v>
      </c>
      <c r="C347" t="s">
        <v>16</v>
      </c>
      <c r="D347" t="s">
        <v>23</v>
      </c>
      <c r="E347" t="s">
        <v>4</v>
      </c>
      <c r="F347" t="s">
        <v>24</v>
      </c>
      <c r="G347">
        <v>546.36</v>
      </c>
      <c r="H347">
        <v>4</v>
      </c>
      <c r="I347">
        <v>25.24</v>
      </c>
    </row>
    <row r="348" spans="1:9" x14ac:dyDescent="0.35">
      <c r="A348" t="s">
        <v>434</v>
      </c>
      <c r="B348" t="s">
        <v>430</v>
      </c>
      <c r="C348" t="s">
        <v>34</v>
      </c>
      <c r="D348" t="s">
        <v>17</v>
      </c>
      <c r="E348" t="s">
        <v>4</v>
      </c>
      <c r="F348" t="s">
        <v>39</v>
      </c>
      <c r="G348">
        <v>320.45</v>
      </c>
      <c r="H348">
        <v>5</v>
      </c>
      <c r="I348">
        <v>4.6900000000000004</v>
      </c>
    </row>
    <row r="349" spans="1:9" x14ac:dyDescent="0.35">
      <c r="A349" t="s">
        <v>435</v>
      </c>
      <c r="B349" t="s">
        <v>430</v>
      </c>
      <c r="C349" t="s">
        <v>16</v>
      </c>
      <c r="D349" t="s">
        <v>17</v>
      </c>
      <c r="E349" t="s">
        <v>5</v>
      </c>
      <c r="F349" t="s">
        <v>29</v>
      </c>
      <c r="G349">
        <v>157.74</v>
      </c>
      <c r="H349">
        <v>6</v>
      </c>
      <c r="I349">
        <v>51.02</v>
      </c>
    </row>
    <row r="350" spans="1:9" x14ac:dyDescent="0.35">
      <c r="A350" t="s">
        <v>436</v>
      </c>
      <c r="B350" t="s">
        <v>437</v>
      </c>
      <c r="C350" t="s">
        <v>16</v>
      </c>
      <c r="D350" t="s">
        <v>23</v>
      </c>
      <c r="E350" t="s">
        <v>3</v>
      </c>
      <c r="F350" t="s">
        <v>27</v>
      </c>
      <c r="G350">
        <v>201.03</v>
      </c>
      <c r="H350">
        <v>5</v>
      </c>
      <c r="I350">
        <v>-51.81</v>
      </c>
    </row>
    <row r="351" spans="1:9" x14ac:dyDescent="0.35">
      <c r="A351" t="s">
        <v>438</v>
      </c>
      <c r="B351" t="s">
        <v>437</v>
      </c>
      <c r="C351" t="s">
        <v>26</v>
      </c>
      <c r="D351" t="s">
        <v>17</v>
      </c>
      <c r="E351" t="s">
        <v>4</v>
      </c>
      <c r="F351" t="s">
        <v>39</v>
      </c>
      <c r="G351">
        <v>70.36</v>
      </c>
      <c r="H351">
        <v>7</v>
      </c>
      <c r="I351">
        <v>8.9</v>
      </c>
    </row>
    <row r="352" spans="1:9" x14ac:dyDescent="0.35">
      <c r="A352" t="s">
        <v>439</v>
      </c>
      <c r="B352" t="s">
        <v>437</v>
      </c>
      <c r="C352" t="s">
        <v>34</v>
      </c>
      <c r="D352" t="s">
        <v>17</v>
      </c>
      <c r="E352" t="s">
        <v>3</v>
      </c>
      <c r="F352" t="s">
        <v>49</v>
      </c>
      <c r="G352">
        <v>169.45</v>
      </c>
      <c r="H352">
        <v>9</v>
      </c>
      <c r="I352">
        <v>27.89</v>
      </c>
    </row>
    <row r="353" spans="1:9" x14ac:dyDescent="0.35">
      <c r="A353" t="s">
        <v>440</v>
      </c>
      <c r="B353" t="s">
        <v>437</v>
      </c>
      <c r="C353" t="s">
        <v>22</v>
      </c>
      <c r="D353" t="s">
        <v>23</v>
      </c>
      <c r="E353" t="s">
        <v>4</v>
      </c>
      <c r="F353" t="s">
        <v>39</v>
      </c>
      <c r="G353">
        <v>111.22</v>
      </c>
      <c r="H353">
        <v>7</v>
      </c>
      <c r="I353">
        <v>-0.5</v>
      </c>
    </row>
    <row r="354" spans="1:9" x14ac:dyDescent="0.35">
      <c r="A354" t="s">
        <v>441</v>
      </c>
      <c r="B354" t="s">
        <v>437</v>
      </c>
      <c r="C354" t="s">
        <v>26</v>
      </c>
      <c r="D354" t="s">
        <v>38</v>
      </c>
      <c r="E354" t="s">
        <v>4</v>
      </c>
      <c r="F354" t="s">
        <v>20</v>
      </c>
      <c r="G354">
        <v>118.67</v>
      </c>
      <c r="H354">
        <v>7</v>
      </c>
      <c r="I354">
        <v>-5.72</v>
      </c>
    </row>
    <row r="355" spans="1:9" x14ac:dyDescent="0.35">
      <c r="A355" t="s">
        <v>442</v>
      </c>
      <c r="B355" t="s">
        <v>437</v>
      </c>
      <c r="C355" t="s">
        <v>22</v>
      </c>
      <c r="D355" t="s">
        <v>23</v>
      </c>
      <c r="E355" t="s">
        <v>5</v>
      </c>
      <c r="F355" t="s">
        <v>29</v>
      </c>
      <c r="G355">
        <v>232.68</v>
      </c>
      <c r="H355">
        <v>4</v>
      </c>
      <c r="I355">
        <v>23.29</v>
      </c>
    </row>
    <row r="356" spans="1:9" x14ac:dyDescent="0.35">
      <c r="A356" t="s">
        <v>443</v>
      </c>
      <c r="B356" t="s">
        <v>444</v>
      </c>
      <c r="C356" t="s">
        <v>22</v>
      </c>
      <c r="D356" t="s">
        <v>17</v>
      </c>
      <c r="E356" t="s">
        <v>5</v>
      </c>
      <c r="F356" t="s">
        <v>41</v>
      </c>
      <c r="G356">
        <v>69.680000000000007</v>
      </c>
      <c r="H356">
        <v>1</v>
      </c>
      <c r="I356">
        <v>23.68</v>
      </c>
    </row>
    <row r="357" spans="1:9" x14ac:dyDescent="0.35">
      <c r="A357" t="s">
        <v>445</v>
      </c>
      <c r="B357" t="s">
        <v>444</v>
      </c>
      <c r="C357" t="s">
        <v>34</v>
      </c>
      <c r="D357" t="s">
        <v>23</v>
      </c>
      <c r="E357" t="s">
        <v>4</v>
      </c>
      <c r="F357" t="s">
        <v>24</v>
      </c>
      <c r="G357">
        <v>77.42</v>
      </c>
      <c r="H357">
        <v>8</v>
      </c>
      <c r="I357">
        <v>20.32</v>
      </c>
    </row>
    <row r="358" spans="1:9" x14ac:dyDescent="0.35">
      <c r="A358" t="s">
        <v>446</v>
      </c>
      <c r="B358" t="s">
        <v>444</v>
      </c>
      <c r="C358" t="s">
        <v>16</v>
      </c>
      <c r="D358" t="s">
        <v>17</v>
      </c>
      <c r="E358" t="s">
        <v>5</v>
      </c>
      <c r="F358" t="s">
        <v>31</v>
      </c>
      <c r="G358">
        <v>407.83</v>
      </c>
      <c r="H358">
        <v>4</v>
      </c>
      <c r="I358">
        <v>81.05</v>
      </c>
    </row>
    <row r="359" spans="1:9" x14ac:dyDescent="0.35">
      <c r="A359" t="s">
        <v>447</v>
      </c>
      <c r="B359" t="s">
        <v>444</v>
      </c>
      <c r="C359" t="s">
        <v>34</v>
      </c>
      <c r="D359" t="s">
        <v>17</v>
      </c>
      <c r="E359" t="s">
        <v>3</v>
      </c>
      <c r="F359" t="s">
        <v>18</v>
      </c>
      <c r="G359">
        <v>28.68</v>
      </c>
      <c r="H359">
        <v>1</v>
      </c>
      <c r="I359">
        <v>0.53</v>
      </c>
    </row>
    <row r="360" spans="1:9" x14ac:dyDescent="0.35">
      <c r="A360" t="s">
        <v>448</v>
      </c>
      <c r="B360" t="s">
        <v>444</v>
      </c>
      <c r="C360" t="s">
        <v>22</v>
      </c>
      <c r="D360" t="s">
        <v>38</v>
      </c>
      <c r="E360" t="s">
        <v>4</v>
      </c>
      <c r="F360" t="s">
        <v>24</v>
      </c>
      <c r="G360">
        <v>119.72</v>
      </c>
      <c r="H360">
        <v>5</v>
      </c>
      <c r="I360">
        <v>34.6</v>
      </c>
    </row>
    <row r="361" spans="1:9" x14ac:dyDescent="0.35">
      <c r="A361" t="s">
        <v>449</v>
      </c>
      <c r="B361" t="s">
        <v>444</v>
      </c>
      <c r="C361" t="s">
        <v>26</v>
      </c>
      <c r="D361" t="s">
        <v>17</v>
      </c>
      <c r="E361" t="s">
        <v>3</v>
      </c>
      <c r="F361" t="s">
        <v>18</v>
      </c>
      <c r="G361">
        <v>385.93</v>
      </c>
      <c r="H361">
        <v>8</v>
      </c>
      <c r="I361">
        <v>49.68</v>
      </c>
    </row>
    <row r="362" spans="1:9" x14ac:dyDescent="0.35">
      <c r="A362" t="s">
        <v>450</v>
      </c>
      <c r="B362" t="s">
        <v>451</v>
      </c>
      <c r="C362" t="s">
        <v>22</v>
      </c>
      <c r="D362" t="s">
        <v>17</v>
      </c>
      <c r="E362" t="s">
        <v>3</v>
      </c>
      <c r="F362" t="s">
        <v>49</v>
      </c>
      <c r="G362">
        <v>161.38</v>
      </c>
      <c r="H362">
        <v>4</v>
      </c>
      <c r="I362">
        <v>-12.04</v>
      </c>
    </row>
    <row r="363" spans="1:9" x14ac:dyDescent="0.35">
      <c r="A363" t="s">
        <v>452</v>
      </c>
      <c r="B363" t="s">
        <v>451</v>
      </c>
      <c r="C363" t="s">
        <v>26</v>
      </c>
      <c r="D363" t="s">
        <v>17</v>
      </c>
      <c r="E363" t="s">
        <v>4</v>
      </c>
      <c r="F363" t="s">
        <v>20</v>
      </c>
      <c r="G363">
        <v>138.58000000000001</v>
      </c>
      <c r="H363">
        <v>8</v>
      </c>
      <c r="I363">
        <v>-11.11</v>
      </c>
    </row>
    <row r="364" spans="1:9" x14ac:dyDescent="0.35">
      <c r="A364" t="s">
        <v>453</v>
      </c>
      <c r="B364" t="s">
        <v>451</v>
      </c>
      <c r="C364" t="s">
        <v>26</v>
      </c>
      <c r="D364" t="s">
        <v>38</v>
      </c>
      <c r="E364" t="s">
        <v>3</v>
      </c>
      <c r="F364" t="s">
        <v>18</v>
      </c>
      <c r="G364">
        <v>63.1</v>
      </c>
      <c r="H364">
        <v>8</v>
      </c>
      <c r="I364">
        <v>-8.33</v>
      </c>
    </row>
    <row r="365" spans="1:9" x14ac:dyDescent="0.35">
      <c r="A365" t="s">
        <v>454</v>
      </c>
      <c r="B365" t="s">
        <v>451</v>
      </c>
      <c r="C365" t="s">
        <v>34</v>
      </c>
      <c r="D365" t="s">
        <v>23</v>
      </c>
      <c r="E365" t="s">
        <v>3</v>
      </c>
      <c r="F365" t="s">
        <v>49</v>
      </c>
      <c r="G365">
        <v>83.07</v>
      </c>
      <c r="H365">
        <v>3</v>
      </c>
      <c r="I365">
        <v>-7.7</v>
      </c>
    </row>
    <row r="366" spans="1:9" x14ac:dyDescent="0.35">
      <c r="A366" t="s">
        <v>455</v>
      </c>
      <c r="B366" t="s">
        <v>451</v>
      </c>
      <c r="C366" t="s">
        <v>22</v>
      </c>
      <c r="D366" t="s">
        <v>23</v>
      </c>
      <c r="E366" t="s">
        <v>4</v>
      </c>
      <c r="F366" t="s">
        <v>24</v>
      </c>
      <c r="G366">
        <v>306.63</v>
      </c>
      <c r="H366">
        <v>9</v>
      </c>
      <c r="I366">
        <v>38.049999999999997</v>
      </c>
    </row>
    <row r="367" spans="1:9" x14ac:dyDescent="0.35">
      <c r="A367" t="s">
        <v>456</v>
      </c>
      <c r="B367" t="s">
        <v>451</v>
      </c>
      <c r="C367" t="s">
        <v>16</v>
      </c>
      <c r="D367" t="s">
        <v>23</v>
      </c>
      <c r="E367" t="s">
        <v>3</v>
      </c>
      <c r="F367" t="s">
        <v>18</v>
      </c>
      <c r="G367">
        <v>142.88</v>
      </c>
      <c r="H367">
        <v>3</v>
      </c>
      <c r="I367">
        <v>-9.83</v>
      </c>
    </row>
    <row r="368" spans="1:9" x14ac:dyDescent="0.35">
      <c r="A368" t="s">
        <v>457</v>
      </c>
      <c r="B368" t="s">
        <v>458</v>
      </c>
      <c r="C368" t="s">
        <v>22</v>
      </c>
      <c r="D368" t="s">
        <v>17</v>
      </c>
      <c r="E368" t="s">
        <v>4</v>
      </c>
      <c r="F368" t="s">
        <v>20</v>
      </c>
      <c r="G368">
        <v>128.46</v>
      </c>
      <c r="H368">
        <v>1</v>
      </c>
      <c r="I368">
        <v>33.64</v>
      </c>
    </row>
    <row r="369" spans="1:9" x14ac:dyDescent="0.35">
      <c r="A369" t="s">
        <v>459</v>
      </c>
      <c r="B369" t="s">
        <v>458</v>
      </c>
      <c r="C369" t="s">
        <v>22</v>
      </c>
      <c r="D369" t="s">
        <v>17</v>
      </c>
      <c r="E369" t="s">
        <v>4</v>
      </c>
      <c r="F369" t="s">
        <v>39</v>
      </c>
      <c r="G369">
        <v>35.729999999999997</v>
      </c>
      <c r="H369">
        <v>2</v>
      </c>
      <c r="I369">
        <v>9.91</v>
      </c>
    </row>
    <row r="370" spans="1:9" x14ac:dyDescent="0.35">
      <c r="A370" t="s">
        <v>460</v>
      </c>
      <c r="B370" t="s">
        <v>458</v>
      </c>
      <c r="C370" t="s">
        <v>16</v>
      </c>
      <c r="D370" t="s">
        <v>17</v>
      </c>
      <c r="E370" t="s">
        <v>5</v>
      </c>
      <c r="F370" t="s">
        <v>31</v>
      </c>
      <c r="G370">
        <v>22.42</v>
      </c>
      <c r="H370">
        <v>6</v>
      </c>
      <c r="I370">
        <v>5.22</v>
      </c>
    </row>
    <row r="371" spans="1:9" x14ac:dyDescent="0.35">
      <c r="A371" t="s">
        <v>461</v>
      </c>
      <c r="B371" t="s">
        <v>458</v>
      </c>
      <c r="C371" t="s">
        <v>34</v>
      </c>
      <c r="D371" t="s">
        <v>17</v>
      </c>
      <c r="E371" t="s">
        <v>5</v>
      </c>
      <c r="F371" t="s">
        <v>29</v>
      </c>
      <c r="G371">
        <v>517.33000000000004</v>
      </c>
      <c r="H371">
        <v>2</v>
      </c>
      <c r="I371">
        <v>186.16</v>
      </c>
    </row>
    <row r="372" spans="1:9" x14ac:dyDescent="0.35">
      <c r="A372" t="s">
        <v>462</v>
      </c>
      <c r="B372" t="s">
        <v>458</v>
      </c>
      <c r="C372" t="s">
        <v>22</v>
      </c>
      <c r="D372" t="s">
        <v>17</v>
      </c>
      <c r="E372" t="s">
        <v>5</v>
      </c>
      <c r="F372" t="s">
        <v>41</v>
      </c>
      <c r="G372">
        <v>90.98</v>
      </c>
      <c r="H372">
        <v>6</v>
      </c>
      <c r="I372">
        <v>26</v>
      </c>
    </row>
    <row r="373" spans="1:9" x14ac:dyDescent="0.35">
      <c r="A373" t="s">
        <v>463</v>
      </c>
      <c r="B373" t="s">
        <v>458</v>
      </c>
      <c r="C373" t="s">
        <v>22</v>
      </c>
      <c r="D373" t="s">
        <v>38</v>
      </c>
      <c r="E373" t="s">
        <v>5</v>
      </c>
      <c r="F373" t="s">
        <v>29</v>
      </c>
      <c r="G373">
        <v>158.65</v>
      </c>
      <c r="H373">
        <v>1</v>
      </c>
      <c r="I373">
        <v>40.69</v>
      </c>
    </row>
    <row r="374" spans="1:9" x14ac:dyDescent="0.35">
      <c r="A374" t="s">
        <v>464</v>
      </c>
      <c r="B374" t="s">
        <v>465</v>
      </c>
      <c r="C374" t="s">
        <v>26</v>
      </c>
      <c r="D374" t="s">
        <v>17</v>
      </c>
      <c r="E374" t="s">
        <v>5</v>
      </c>
      <c r="F374" t="s">
        <v>41</v>
      </c>
      <c r="G374">
        <v>32.46</v>
      </c>
      <c r="H374">
        <v>1</v>
      </c>
      <c r="I374">
        <v>11.06</v>
      </c>
    </row>
    <row r="375" spans="1:9" x14ac:dyDescent="0.35">
      <c r="A375" t="s">
        <v>466</v>
      </c>
      <c r="B375" t="s">
        <v>465</v>
      </c>
      <c r="C375" t="s">
        <v>22</v>
      </c>
      <c r="D375" t="s">
        <v>17</v>
      </c>
      <c r="E375" t="s">
        <v>4</v>
      </c>
      <c r="F375" t="s">
        <v>24</v>
      </c>
      <c r="G375">
        <v>192.38</v>
      </c>
      <c r="H375">
        <v>5</v>
      </c>
      <c r="I375">
        <v>30.25</v>
      </c>
    </row>
    <row r="376" spans="1:9" x14ac:dyDescent="0.35">
      <c r="A376" t="s">
        <v>467</v>
      </c>
      <c r="B376" t="s">
        <v>465</v>
      </c>
      <c r="C376" t="s">
        <v>16</v>
      </c>
      <c r="D376" t="s">
        <v>17</v>
      </c>
      <c r="E376" t="s">
        <v>5</v>
      </c>
      <c r="F376" t="s">
        <v>31</v>
      </c>
      <c r="G376">
        <v>424.49</v>
      </c>
      <c r="H376">
        <v>9</v>
      </c>
      <c r="I376">
        <v>193.47</v>
      </c>
    </row>
    <row r="377" spans="1:9" x14ac:dyDescent="0.35">
      <c r="A377" t="s">
        <v>468</v>
      </c>
      <c r="B377" t="s">
        <v>465</v>
      </c>
      <c r="C377" t="s">
        <v>26</v>
      </c>
      <c r="D377" t="s">
        <v>17</v>
      </c>
      <c r="E377" t="s">
        <v>3</v>
      </c>
      <c r="F377" t="s">
        <v>27</v>
      </c>
      <c r="G377">
        <v>148.58000000000001</v>
      </c>
      <c r="H377">
        <v>8</v>
      </c>
      <c r="I377">
        <v>-28.8</v>
      </c>
    </row>
    <row r="378" spans="1:9" x14ac:dyDescent="0.35">
      <c r="A378" t="s">
        <v>469</v>
      </c>
      <c r="B378" t="s">
        <v>465</v>
      </c>
      <c r="C378" t="s">
        <v>34</v>
      </c>
      <c r="D378" t="s">
        <v>38</v>
      </c>
      <c r="E378" t="s">
        <v>4</v>
      </c>
      <c r="F378" t="s">
        <v>24</v>
      </c>
      <c r="G378">
        <v>40.22</v>
      </c>
      <c r="H378">
        <v>3</v>
      </c>
      <c r="I378">
        <v>3.96</v>
      </c>
    </row>
    <row r="379" spans="1:9" x14ac:dyDescent="0.35">
      <c r="A379" t="s">
        <v>470</v>
      </c>
      <c r="B379" t="s">
        <v>465</v>
      </c>
      <c r="C379" t="s">
        <v>26</v>
      </c>
      <c r="D379" t="s">
        <v>17</v>
      </c>
      <c r="E379" t="s">
        <v>5</v>
      </c>
      <c r="F379" t="s">
        <v>29</v>
      </c>
      <c r="G379">
        <v>150.74</v>
      </c>
      <c r="H379">
        <v>3</v>
      </c>
      <c r="I379">
        <v>35.78</v>
      </c>
    </row>
    <row r="380" spans="1:9" x14ac:dyDescent="0.35">
      <c r="A380" t="s">
        <v>471</v>
      </c>
      <c r="B380" t="s">
        <v>472</v>
      </c>
      <c r="C380" t="s">
        <v>16</v>
      </c>
      <c r="D380" t="s">
        <v>17</v>
      </c>
      <c r="E380" t="s">
        <v>4</v>
      </c>
      <c r="F380" t="s">
        <v>20</v>
      </c>
      <c r="G380">
        <v>238.09</v>
      </c>
      <c r="H380">
        <v>1</v>
      </c>
      <c r="I380">
        <v>46.18</v>
      </c>
    </row>
    <row r="381" spans="1:9" x14ac:dyDescent="0.35">
      <c r="A381" t="s">
        <v>473</v>
      </c>
      <c r="B381" t="s">
        <v>472</v>
      </c>
      <c r="C381" t="s">
        <v>16</v>
      </c>
      <c r="D381" t="s">
        <v>23</v>
      </c>
      <c r="E381" t="s">
        <v>5</v>
      </c>
      <c r="F381" t="s">
        <v>31</v>
      </c>
      <c r="G381">
        <v>98.24</v>
      </c>
      <c r="H381">
        <v>3</v>
      </c>
      <c r="I381">
        <v>37.020000000000003</v>
      </c>
    </row>
    <row r="382" spans="1:9" x14ac:dyDescent="0.35">
      <c r="A382" t="s">
        <v>474</v>
      </c>
      <c r="B382" t="s">
        <v>472</v>
      </c>
      <c r="C382" t="s">
        <v>26</v>
      </c>
      <c r="D382" t="s">
        <v>17</v>
      </c>
      <c r="E382" t="s">
        <v>5</v>
      </c>
      <c r="F382" t="s">
        <v>31</v>
      </c>
      <c r="G382">
        <v>337.84</v>
      </c>
      <c r="H382">
        <v>1</v>
      </c>
      <c r="I382">
        <v>83.64</v>
      </c>
    </row>
    <row r="383" spans="1:9" x14ac:dyDescent="0.35">
      <c r="A383" t="s">
        <v>475</v>
      </c>
      <c r="B383" t="s">
        <v>472</v>
      </c>
      <c r="C383" t="s">
        <v>34</v>
      </c>
      <c r="D383" t="s">
        <v>17</v>
      </c>
      <c r="E383" t="s">
        <v>4</v>
      </c>
      <c r="F383" t="s">
        <v>24</v>
      </c>
      <c r="G383">
        <v>176.91</v>
      </c>
      <c r="H383">
        <v>8</v>
      </c>
      <c r="I383">
        <v>1.38</v>
      </c>
    </row>
    <row r="384" spans="1:9" x14ac:dyDescent="0.35">
      <c r="A384" t="s">
        <v>476</v>
      </c>
      <c r="B384" t="s">
        <v>472</v>
      </c>
      <c r="C384" t="s">
        <v>26</v>
      </c>
      <c r="D384" t="s">
        <v>17</v>
      </c>
      <c r="E384" t="s">
        <v>4</v>
      </c>
      <c r="F384" t="s">
        <v>20</v>
      </c>
      <c r="G384">
        <v>364.27</v>
      </c>
      <c r="H384">
        <v>1</v>
      </c>
      <c r="I384">
        <v>85.33</v>
      </c>
    </row>
    <row r="385" spans="1:9" x14ac:dyDescent="0.35">
      <c r="A385" t="s">
        <v>477</v>
      </c>
      <c r="B385" t="s">
        <v>472</v>
      </c>
      <c r="C385" t="s">
        <v>34</v>
      </c>
      <c r="D385" t="s">
        <v>23</v>
      </c>
      <c r="E385" t="s">
        <v>4</v>
      </c>
      <c r="F385" t="s">
        <v>24</v>
      </c>
      <c r="G385">
        <v>166.53</v>
      </c>
      <c r="H385">
        <v>5</v>
      </c>
      <c r="I385">
        <v>37.549999999999997</v>
      </c>
    </row>
    <row r="386" spans="1:9" x14ac:dyDescent="0.35">
      <c r="A386" t="s">
        <v>478</v>
      </c>
      <c r="B386" t="s">
        <v>479</v>
      </c>
      <c r="C386" t="s">
        <v>26</v>
      </c>
      <c r="D386" t="s">
        <v>38</v>
      </c>
      <c r="E386" t="s">
        <v>4</v>
      </c>
      <c r="F386" t="s">
        <v>24</v>
      </c>
      <c r="G386">
        <v>41.11</v>
      </c>
      <c r="H386">
        <v>9</v>
      </c>
      <c r="I386">
        <v>-1.82</v>
      </c>
    </row>
    <row r="387" spans="1:9" x14ac:dyDescent="0.35">
      <c r="A387" t="s">
        <v>480</v>
      </c>
      <c r="B387" t="s">
        <v>479</v>
      </c>
      <c r="C387" t="s">
        <v>16</v>
      </c>
      <c r="D387" t="s">
        <v>23</v>
      </c>
      <c r="E387" t="s">
        <v>4</v>
      </c>
      <c r="F387" t="s">
        <v>24</v>
      </c>
      <c r="G387">
        <v>75.59</v>
      </c>
      <c r="H387">
        <v>7</v>
      </c>
      <c r="I387">
        <v>11.31</v>
      </c>
    </row>
    <row r="388" spans="1:9" x14ac:dyDescent="0.35">
      <c r="A388" t="s">
        <v>481</v>
      </c>
      <c r="B388" t="s">
        <v>479</v>
      </c>
      <c r="C388" t="s">
        <v>22</v>
      </c>
      <c r="D388" t="s">
        <v>17</v>
      </c>
      <c r="E388" t="s">
        <v>5</v>
      </c>
      <c r="F388" t="s">
        <v>41</v>
      </c>
      <c r="G388">
        <v>53.81</v>
      </c>
      <c r="H388">
        <v>4</v>
      </c>
      <c r="I388">
        <v>4.9000000000000004</v>
      </c>
    </row>
    <row r="389" spans="1:9" x14ac:dyDescent="0.35">
      <c r="A389" t="s">
        <v>482</v>
      </c>
      <c r="B389" t="s">
        <v>479</v>
      </c>
      <c r="C389" t="s">
        <v>22</v>
      </c>
      <c r="D389" t="s">
        <v>38</v>
      </c>
      <c r="E389" t="s">
        <v>5</v>
      </c>
      <c r="F389" t="s">
        <v>31</v>
      </c>
      <c r="G389">
        <v>379.25</v>
      </c>
      <c r="H389">
        <v>9</v>
      </c>
      <c r="I389">
        <v>69.61</v>
      </c>
    </row>
    <row r="390" spans="1:9" x14ac:dyDescent="0.35">
      <c r="A390" t="s">
        <v>483</v>
      </c>
      <c r="B390" t="s">
        <v>479</v>
      </c>
      <c r="C390" t="s">
        <v>34</v>
      </c>
      <c r="D390" t="s">
        <v>17</v>
      </c>
      <c r="E390" t="s">
        <v>4</v>
      </c>
      <c r="F390" t="s">
        <v>39</v>
      </c>
      <c r="G390">
        <v>234.32</v>
      </c>
      <c r="H390">
        <v>9</v>
      </c>
      <c r="I390">
        <v>13.99</v>
      </c>
    </row>
    <row r="391" spans="1:9" x14ac:dyDescent="0.35">
      <c r="A391" t="s">
        <v>484</v>
      </c>
      <c r="B391" t="s">
        <v>479</v>
      </c>
      <c r="C391" t="s">
        <v>34</v>
      </c>
      <c r="D391" t="s">
        <v>17</v>
      </c>
      <c r="E391" t="s">
        <v>4</v>
      </c>
      <c r="F391" t="s">
        <v>39</v>
      </c>
      <c r="G391">
        <v>189.24</v>
      </c>
      <c r="H391">
        <v>2</v>
      </c>
      <c r="I391">
        <v>43.7</v>
      </c>
    </row>
    <row r="392" spans="1:9" x14ac:dyDescent="0.35">
      <c r="A392" t="s">
        <v>485</v>
      </c>
      <c r="B392" t="s">
        <v>486</v>
      </c>
      <c r="C392" t="s">
        <v>34</v>
      </c>
      <c r="D392" t="s">
        <v>17</v>
      </c>
      <c r="E392" t="s">
        <v>4</v>
      </c>
      <c r="F392" t="s">
        <v>24</v>
      </c>
      <c r="G392">
        <v>73.709999999999994</v>
      </c>
      <c r="H392">
        <v>6</v>
      </c>
      <c r="I392">
        <v>11.92</v>
      </c>
    </row>
    <row r="393" spans="1:9" x14ac:dyDescent="0.35">
      <c r="A393" t="s">
        <v>487</v>
      </c>
      <c r="B393" t="s">
        <v>486</v>
      </c>
      <c r="C393" t="s">
        <v>16</v>
      </c>
      <c r="D393" t="s">
        <v>17</v>
      </c>
      <c r="E393" t="s">
        <v>3</v>
      </c>
      <c r="F393" t="s">
        <v>49</v>
      </c>
      <c r="G393">
        <v>50.51</v>
      </c>
      <c r="H393">
        <v>4</v>
      </c>
      <c r="I393">
        <v>-9.02</v>
      </c>
    </row>
    <row r="394" spans="1:9" x14ac:dyDescent="0.35">
      <c r="A394" t="s">
        <v>488</v>
      </c>
      <c r="B394" t="s">
        <v>486</v>
      </c>
      <c r="C394" t="s">
        <v>26</v>
      </c>
      <c r="D394" t="s">
        <v>23</v>
      </c>
      <c r="E394" t="s">
        <v>3</v>
      </c>
      <c r="F394" t="s">
        <v>27</v>
      </c>
      <c r="G394">
        <v>231.87</v>
      </c>
      <c r="H394">
        <v>8</v>
      </c>
      <c r="I394">
        <v>8.81</v>
      </c>
    </row>
    <row r="395" spans="1:9" x14ac:dyDescent="0.35">
      <c r="A395" t="s">
        <v>489</v>
      </c>
      <c r="B395" t="s">
        <v>486</v>
      </c>
      <c r="C395" t="s">
        <v>16</v>
      </c>
      <c r="D395" t="s">
        <v>23</v>
      </c>
      <c r="E395" t="s">
        <v>4</v>
      </c>
      <c r="F395" t="s">
        <v>20</v>
      </c>
      <c r="G395">
        <v>116.41</v>
      </c>
      <c r="H395">
        <v>7</v>
      </c>
      <c r="I395">
        <v>0.77</v>
      </c>
    </row>
    <row r="396" spans="1:9" x14ac:dyDescent="0.35">
      <c r="A396" t="s">
        <v>490</v>
      </c>
      <c r="B396" t="s">
        <v>486</v>
      </c>
      <c r="C396" t="s">
        <v>22</v>
      </c>
      <c r="D396" t="s">
        <v>38</v>
      </c>
      <c r="E396" t="s">
        <v>3</v>
      </c>
      <c r="F396" t="s">
        <v>18</v>
      </c>
      <c r="G396">
        <v>58.39</v>
      </c>
      <c r="H396">
        <v>7</v>
      </c>
      <c r="I396">
        <v>-0.99</v>
      </c>
    </row>
    <row r="397" spans="1:9" x14ac:dyDescent="0.35">
      <c r="A397" t="s">
        <v>491</v>
      </c>
      <c r="B397" t="s">
        <v>486</v>
      </c>
      <c r="C397" t="s">
        <v>34</v>
      </c>
      <c r="D397" t="s">
        <v>23</v>
      </c>
      <c r="E397" t="s">
        <v>4</v>
      </c>
      <c r="F397" t="s">
        <v>20</v>
      </c>
      <c r="G397">
        <v>163.81</v>
      </c>
      <c r="H397">
        <v>9</v>
      </c>
      <c r="I397">
        <v>11.24</v>
      </c>
    </row>
    <row r="398" spans="1:9" x14ac:dyDescent="0.35">
      <c r="A398" t="s">
        <v>492</v>
      </c>
      <c r="B398" t="s">
        <v>493</v>
      </c>
      <c r="C398" t="s">
        <v>26</v>
      </c>
      <c r="D398" t="s">
        <v>23</v>
      </c>
      <c r="E398" t="s">
        <v>4</v>
      </c>
      <c r="F398" t="s">
        <v>20</v>
      </c>
      <c r="G398">
        <v>26.18</v>
      </c>
      <c r="H398">
        <v>5</v>
      </c>
      <c r="I398">
        <v>2.97</v>
      </c>
    </row>
    <row r="399" spans="1:9" x14ac:dyDescent="0.35">
      <c r="A399" t="s">
        <v>494</v>
      </c>
      <c r="B399" t="s">
        <v>493</v>
      </c>
      <c r="C399" t="s">
        <v>22</v>
      </c>
      <c r="D399" t="s">
        <v>17</v>
      </c>
      <c r="E399" t="s">
        <v>3</v>
      </c>
      <c r="F399" t="s">
        <v>49</v>
      </c>
      <c r="G399">
        <v>79.22</v>
      </c>
      <c r="H399">
        <v>6</v>
      </c>
      <c r="I399">
        <v>0.03</v>
      </c>
    </row>
    <row r="400" spans="1:9" x14ac:dyDescent="0.35">
      <c r="A400" t="s">
        <v>495</v>
      </c>
      <c r="B400" t="s">
        <v>493</v>
      </c>
      <c r="C400" t="s">
        <v>22</v>
      </c>
      <c r="D400" t="s">
        <v>17</v>
      </c>
      <c r="E400" t="s">
        <v>4</v>
      </c>
      <c r="F400" t="s">
        <v>24</v>
      </c>
      <c r="G400">
        <v>114.82</v>
      </c>
      <c r="H400">
        <v>1</v>
      </c>
      <c r="I400">
        <v>23.21</v>
      </c>
    </row>
    <row r="401" spans="1:9" x14ac:dyDescent="0.35">
      <c r="A401" t="s">
        <v>496</v>
      </c>
      <c r="B401" t="s">
        <v>493</v>
      </c>
      <c r="C401" t="s">
        <v>22</v>
      </c>
      <c r="D401" t="s">
        <v>23</v>
      </c>
      <c r="E401" t="s">
        <v>4</v>
      </c>
      <c r="F401" t="s">
        <v>24</v>
      </c>
      <c r="G401">
        <v>44.02</v>
      </c>
      <c r="H401">
        <v>6</v>
      </c>
      <c r="I401">
        <v>12.49</v>
      </c>
    </row>
    <row r="402" spans="1:9" x14ac:dyDescent="0.35">
      <c r="A402" t="s">
        <v>497</v>
      </c>
      <c r="B402" t="s">
        <v>493</v>
      </c>
      <c r="C402" t="s">
        <v>16</v>
      </c>
      <c r="D402" t="s">
        <v>17</v>
      </c>
      <c r="E402" t="s">
        <v>5</v>
      </c>
      <c r="F402" t="s">
        <v>31</v>
      </c>
      <c r="G402">
        <v>646.54</v>
      </c>
      <c r="H402">
        <v>2</v>
      </c>
      <c r="I402">
        <v>156.32</v>
      </c>
    </row>
    <row r="403" spans="1:9" x14ac:dyDescent="0.35">
      <c r="A403" t="s">
        <v>498</v>
      </c>
      <c r="B403" t="s">
        <v>493</v>
      </c>
      <c r="C403" t="s">
        <v>34</v>
      </c>
      <c r="D403" t="s">
        <v>38</v>
      </c>
      <c r="E403" t="s">
        <v>4</v>
      </c>
      <c r="F403" t="s">
        <v>20</v>
      </c>
      <c r="G403">
        <v>55.19</v>
      </c>
      <c r="H403">
        <v>6</v>
      </c>
      <c r="I403">
        <v>9.9700000000000006</v>
      </c>
    </row>
    <row r="404" spans="1:9" x14ac:dyDescent="0.35">
      <c r="A404" t="s">
        <v>499</v>
      </c>
      <c r="B404" t="s">
        <v>500</v>
      </c>
      <c r="C404" t="s">
        <v>22</v>
      </c>
      <c r="D404" t="s">
        <v>17</v>
      </c>
      <c r="E404" t="s">
        <v>3</v>
      </c>
      <c r="F404" t="s">
        <v>18</v>
      </c>
      <c r="G404">
        <v>40.950000000000003</v>
      </c>
      <c r="H404">
        <v>9</v>
      </c>
      <c r="I404">
        <v>-3.84</v>
      </c>
    </row>
    <row r="405" spans="1:9" x14ac:dyDescent="0.35">
      <c r="A405" t="s">
        <v>501</v>
      </c>
      <c r="B405" t="s">
        <v>500</v>
      </c>
      <c r="C405" t="s">
        <v>34</v>
      </c>
      <c r="D405" t="s">
        <v>17</v>
      </c>
      <c r="E405" t="s">
        <v>4</v>
      </c>
      <c r="F405" t="s">
        <v>24</v>
      </c>
      <c r="G405">
        <v>54.14</v>
      </c>
      <c r="H405">
        <v>8</v>
      </c>
      <c r="I405">
        <v>9.11</v>
      </c>
    </row>
    <row r="406" spans="1:9" x14ac:dyDescent="0.35">
      <c r="A406" t="s">
        <v>502</v>
      </c>
      <c r="B406" t="s">
        <v>500</v>
      </c>
      <c r="C406" t="s">
        <v>16</v>
      </c>
      <c r="D406" t="s">
        <v>17</v>
      </c>
      <c r="E406" t="s">
        <v>3</v>
      </c>
      <c r="F406" t="s">
        <v>18</v>
      </c>
      <c r="G406">
        <v>239.84</v>
      </c>
      <c r="H406">
        <v>9</v>
      </c>
      <c r="I406">
        <v>-1.45</v>
      </c>
    </row>
    <row r="407" spans="1:9" x14ac:dyDescent="0.35">
      <c r="A407" t="s">
        <v>503</v>
      </c>
      <c r="B407" t="s">
        <v>500</v>
      </c>
      <c r="C407" t="s">
        <v>22</v>
      </c>
      <c r="D407" t="s">
        <v>17</v>
      </c>
      <c r="E407" t="s">
        <v>4</v>
      </c>
      <c r="F407" t="s">
        <v>24</v>
      </c>
      <c r="G407">
        <v>103.14</v>
      </c>
      <c r="H407">
        <v>8</v>
      </c>
      <c r="I407">
        <v>14.46</v>
      </c>
    </row>
    <row r="408" spans="1:9" x14ac:dyDescent="0.35">
      <c r="A408" t="s">
        <v>504</v>
      </c>
      <c r="B408" t="s">
        <v>500</v>
      </c>
      <c r="C408" t="s">
        <v>16</v>
      </c>
      <c r="D408" t="s">
        <v>17</v>
      </c>
      <c r="E408" t="s">
        <v>3</v>
      </c>
      <c r="F408" t="s">
        <v>27</v>
      </c>
      <c r="G408">
        <v>145</v>
      </c>
      <c r="H408">
        <v>3</v>
      </c>
      <c r="I408">
        <v>-33.4</v>
      </c>
    </row>
    <row r="409" spans="1:9" x14ac:dyDescent="0.35">
      <c r="A409" t="s">
        <v>505</v>
      </c>
      <c r="B409" t="s">
        <v>500</v>
      </c>
      <c r="C409" t="s">
        <v>16</v>
      </c>
      <c r="D409" t="s">
        <v>23</v>
      </c>
      <c r="E409" t="s">
        <v>5</v>
      </c>
      <c r="F409" t="s">
        <v>31</v>
      </c>
      <c r="G409">
        <v>23.18</v>
      </c>
      <c r="H409">
        <v>8</v>
      </c>
      <c r="I409">
        <v>6.56</v>
      </c>
    </row>
    <row r="410" spans="1:9" x14ac:dyDescent="0.35">
      <c r="A410" t="s">
        <v>506</v>
      </c>
      <c r="B410" t="s">
        <v>507</v>
      </c>
      <c r="C410" t="s">
        <v>34</v>
      </c>
      <c r="D410" t="s">
        <v>17</v>
      </c>
      <c r="E410" t="s">
        <v>4</v>
      </c>
      <c r="F410" t="s">
        <v>24</v>
      </c>
      <c r="G410">
        <v>25.26</v>
      </c>
      <c r="H410">
        <v>6</v>
      </c>
      <c r="I410">
        <v>4.71</v>
      </c>
    </row>
    <row r="411" spans="1:9" x14ac:dyDescent="0.35">
      <c r="A411" t="s">
        <v>508</v>
      </c>
      <c r="B411" t="s">
        <v>507</v>
      </c>
      <c r="C411" t="s">
        <v>22</v>
      </c>
      <c r="D411" t="s">
        <v>23</v>
      </c>
      <c r="E411" t="s">
        <v>5</v>
      </c>
      <c r="F411" t="s">
        <v>31</v>
      </c>
      <c r="G411">
        <v>108.54</v>
      </c>
      <c r="H411">
        <v>6</v>
      </c>
      <c r="I411">
        <v>19.75</v>
      </c>
    </row>
    <row r="412" spans="1:9" x14ac:dyDescent="0.35">
      <c r="A412" t="s">
        <v>509</v>
      </c>
      <c r="B412" t="s">
        <v>507</v>
      </c>
      <c r="C412" t="s">
        <v>16</v>
      </c>
      <c r="D412" t="s">
        <v>17</v>
      </c>
      <c r="E412" t="s">
        <v>3</v>
      </c>
      <c r="F412" t="s">
        <v>27</v>
      </c>
      <c r="G412">
        <v>274.45999999999998</v>
      </c>
      <c r="H412">
        <v>6</v>
      </c>
      <c r="I412">
        <v>-48.97</v>
      </c>
    </row>
    <row r="413" spans="1:9" x14ac:dyDescent="0.35">
      <c r="A413" t="s">
        <v>510</v>
      </c>
      <c r="B413" t="s">
        <v>507</v>
      </c>
      <c r="C413" t="s">
        <v>22</v>
      </c>
      <c r="D413" t="s">
        <v>17</v>
      </c>
      <c r="E413" t="s">
        <v>4</v>
      </c>
      <c r="F413" t="s">
        <v>24</v>
      </c>
      <c r="G413">
        <v>344.74</v>
      </c>
      <c r="H413">
        <v>3</v>
      </c>
      <c r="I413">
        <v>102.59</v>
      </c>
    </row>
    <row r="414" spans="1:9" x14ac:dyDescent="0.35">
      <c r="A414" t="s">
        <v>511</v>
      </c>
      <c r="B414" t="s">
        <v>507</v>
      </c>
      <c r="C414" t="s">
        <v>34</v>
      </c>
      <c r="D414" t="s">
        <v>17</v>
      </c>
      <c r="E414" t="s">
        <v>4</v>
      </c>
      <c r="F414" t="s">
        <v>20</v>
      </c>
      <c r="G414">
        <v>33.6</v>
      </c>
      <c r="H414">
        <v>1</v>
      </c>
      <c r="I414">
        <v>6.69</v>
      </c>
    </row>
    <row r="415" spans="1:9" x14ac:dyDescent="0.35">
      <c r="A415" t="s">
        <v>512</v>
      </c>
      <c r="B415" t="s">
        <v>507</v>
      </c>
      <c r="C415" t="s">
        <v>16</v>
      </c>
      <c r="D415" t="s">
        <v>38</v>
      </c>
      <c r="E415" t="s">
        <v>3</v>
      </c>
      <c r="F415" t="s">
        <v>27</v>
      </c>
      <c r="G415">
        <v>135.94999999999999</v>
      </c>
      <c r="H415">
        <v>4</v>
      </c>
      <c r="I415">
        <v>-9.91</v>
      </c>
    </row>
    <row r="416" spans="1:9" x14ac:dyDescent="0.35">
      <c r="A416" t="s">
        <v>513</v>
      </c>
      <c r="B416" t="s">
        <v>514</v>
      </c>
      <c r="C416" t="s">
        <v>34</v>
      </c>
      <c r="D416" t="s">
        <v>17</v>
      </c>
      <c r="E416" t="s">
        <v>4</v>
      </c>
      <c r="F416" t="s">
        <v>24</v>
      </c>
      <c r="G416">
        <v>386.67</v>
      </c>
      <c r="H416">
        <v>6</v>
      </c>
      <c r="I416">
        <v>14.03</v>
      </c>
    </row>
    <row r="417" spans="1:9" x14ac:dyDescent="0.35">
      <c r="A417" t="s">
        <v>515</v>
      </c>
      <c r="B417" t="s">
        <v>514</v>
      </c>
      <c r="C417" t="s">
        <v>22</v>
      </c>
      <c r="D417" t="s">
        <v>23</v>
      </c>
      <c r="E417" t="s">
        <v>3</v>
      </c>
      <c r="F417" t="s">
        <v>18</v>
      </c>
      <c r="G417">
        <v>93.65</v>
      </c>
      <c r="H417">
        <v>2</v>
      </c>
      <c r="I417">
        <v>-12.38</v>
      </c>
    </row>
    <row r="418" spans="1:9" x14ac:dyDescent="0.35">
      <c r="A418" t="s">
        <v>516</v>
      </c>
      <c r="B418" t="s">
        <v>514</v>
      </c>
      <c r="C418" t="s">
        <v>22</v>
      </c>
      <c r="D418" t="s">
        <v>17</v>
      </c>
      <c r="E418" t="s">
        <v>5</v>
      </c>
      <c r="F418" t="s">
        <v>29</v>
      </c>
      <c r="G418">
        <v>285.41000000000003</v>
      </c>
      <c r="H418">
        <v>7</v>
      </c>
      <c r="I418">
        <v>108.53</v>
      </c>
    </row>
    <row r="419" spans="1:9" x14ac:dyDescent="0.35">
      <c r="A419" t="s">
        <v>517</v>
      </c>
      <c r="B419" t="s">
        <v>514</v>
      </c>
      <c r="C419" t="s">
        <v>34</v>
      </c>
      <c r="D419" t="s">
        <v>23</v>
      </c>
      <c r="E419" t="s">
        <v>3</v>
      </c>
      <c r="F419" t="s">
        <v>18</v>
      </c>
      <c r="G419">
        <v>41.53</v>
      </c>
      <c r="H419">
        <v>7</v>
      </c>
      <c r="I419">
        <v>-1.5</v>
      </c>
    </row>
    <row r="420" spans="1:9" x14ac:dyDescent="0.35">
      <c r="A420" t="s">
        <v>518</v>
      </c>
      <c r="B420" t="s">
        <v>514</v>
      </c>
      <c r="C420" t="s">
        <v>26</v>
      </c>
      <c r="D420" t="s">
        <v>17</v>
      </c>
      <c r="E420" t="s">
        <v>4</v>
      </c>
      <c r="F420" t="s">
        <v>24</v>
      </c>
      <c r="G420">
        <v>430.92</v>
      </c>
      <c r="H420">
        <v>4</v>
      </c>
      <c r="I420">
        <v>40.909999999999997</v>
      </c>
    </row>
    <row r="421" spans="1:9" x14ac:dyDescent="0.35">
      <c r="A421" t="s">
        <v>519</v>
      </c>
      <c r="B421" t="s">
        <v>514</v>
      </c>
      <c r="C421" t="s">
        <v>16</v>
      </c>
      <c r="D421" t="s">
        <v>23</v>
      </c>
      <c r="E421" t="s">
        <v>4</v>
      </c>
      <c r="F421" t="s">
        <v>39</v>
      </c>
      <c r="G421">
        <v>228.8</v>
      </c>
      <c r="H421">
        <v>4</v>
      </c>
      <c r="I421">
        <v>45.98</v>
      </c>
    </row>
    <row r="422" spans="1:9" x14ac:dyDescent="0.35">
      <c r="A422" t="s">
        <v>520</v>
      </c>
      <c r="B422" t="s">
        <v>521</v>
      </c>
      <c r="C422" t="s">
        <v>22</v>
      </c>
      <c r="D422" t="s">
        <v>23</v>
      </c>
      <c r="E422" t="s">
        <v>4</v>
      </c>
      <c r="F422" t="s">
        <v>39</v>
      </c>
      <c r="G422">
        <v>445.39</v>
      </c>
      <c r="H422">
        <v>1</v>
      </c>
      <c r="I422">
        <v>30.54</v>
      </c>
    </row>
    <row r="423" spans="1:9" x14ac:dyDescent="0.35">
      <c r="A423" t="s">
        <v>522</v>
      </c>
      <c r="B423" t="s">
        <v>521</v>
      </c>
      <c r="C423" t="s">
        <v>22</v>
      </c>
      <c r="D423" t="s">
        <v>38</v>
      </c>
      <c r="E423" t="s">
        <v>4</v>
      </c>
      <c r="F423" t="s">
        <v>20</v>
      </c>
      <c r="G423">
        <v>189.34</v>
      </c>
      <c r="H423">
        <v>2</v>
      </c>
      <c r="I423">
        <v>56.82</v>
      </c>
    </row>
    <row r="424" spans="1:9" x14ac:dyDescent="0.35">
      <c r="A424" t="s">
        <v>523</v>
      </c>
      <c r="B424" t="s">
        <v>521</v>
      </c>
      <c r="C424" t="s">
        <v>16</v>
      </c>
      <c r="D424" t="s">
        <v>17</v>
      </c>
      <c r="E424" t="s">
        <v>5</v>
      </c>
      <c r="F424" t="s">
        <v>41</v>
      </c>
      <c r="G424">
        <v>87.74</v>
      </c>
      <c r="H424">
        <v>9</v>
      </c>
      <c r="I424">
        <v>33.799999999999997</v>
      </c>
    </row>
    <row r="425" spans="1:9" x14ac:dyDescent="0.35">
      <c r="A425" t="s">
        <v>524</v>
      </c>
      <c r="B425" t="s">
        <v>521</v>
      </c>
      <c r="C425" t="s">
        <v>34</v>
      </c>
      <c r="D425" t="s">
        <v>17</v>
      </c>
      <c r="E425" t="s">
        <v>3</v>
      </c>
      <c r="F425" t="s">
        <v>18</v>
      </c>
      <c r="G425">
        <v>437.53</v>
      </c>
      <c r="H425">
        <v>8</v>
      </c>
      <c r="I425">
        <v>-42.29</v>
      </c>
    </row>
    <row r="426" spans="1:9" x14ac:dyDescent="0.35">
      <c r="A426" t="s">
        <v>525</v>
      </c>
      <c r="B426" t="s">
        <v>521</v>
      </c>
      <c r="C426" t="s">
        <v>34</v>
      </c>
      <c r="D426" t="s">
        <v>17</v>
      </c>
      <c r="E426" t="s">
        <v>5</v>
      </c>
      <c r="F426" t="s">
        <v>31</v>
      </c>
      <c r="G426">
        <v>68.349999999999994</v>
      </c>
      <c r="H426">
        <v>8</v>
      </c>
      <c r="I426">
        <v>12.79</v>
      </c>
    </row>
    <row r="427" spans="1:9" x14ac:dyDescent="0.35">
      <c r="A427" t="s">
        <v>526</v>
      </c>
      <c r="B427" t="s">
        <v>521</v>
      </c>
      <c r="C427" t="s">
        <v>34</v>
      </c>
      <c r="D427" t="s">
        <v>38</v>
      </c>
      <c r="E427" t="s">
        <v>3</v>
      </c>
      <c r="F427" t="s">
        <v>49</v>
      </c>
      <c r="G427">
        <v>80.56</v>
      </c>
      <c r="H427">
        <v>9</v>
      </c>
      <c r="I427">
        <v>-25.12</v>
      </c>
    </row>
    <row r="428" spans="1:9" x14ac:dyDescent="0.35">
      <c r="A428" t="s">
        <v>527</v>
      </c>
      <c r="B428" t="s">
        <v>528</v>
      </c>
      <c r="C428" t="s">
        <v>26</v>
      </c>
      <c r="D428" t="s">
        <v>23</v>
      </c>
      <c r="E428" t="s">
        <v>3</v>
      </c>
      <c r="F428" t="s">
        <v>27</v>
      </c>
      <c r="G428">
        <v>201</v>
      </c>
      <c r="H428">
        <v>7</v>
      </c>
      <c r="I428">
        <v>-39.83</v>
      </c>
    </row>
    <row r="429" spans="1:9" x14ac:dyDescent="0.35">
      <c r="A429" t="s">
        <v>529</v>
      </c>
      <c r="B429" t="s">
        <v>528</v>
      </c>
      <c r="C429" t="s">
        <v>26</v>
      </c>
      <c r="D429" t="s">
        <v>23</v>
      </c>
      <c r="E429" t="s">
        <v>4</v>
      </c>
      <c r="F429" t="s">
        <v>39</v>
      </c>
      <c r="G429">
        <v>237.43</v>
      </c>
      <c r="H429">
        <v>9</v>
      </c>
      <c r="I429">
        <v>3.81</v>
      </c>
    </row>
    <row r="430" spans="1:9" x14ac:dyDescent="0.35">
      <c r="A430" t="s">
        <v>530</v>
      </c>
      <c r="B430" t="s">
        <v>528</v>
      </c>
      <c r="C430" t="s">
        <v>22</v>
      </c>
      <c r="D430" t="s">
        <v>17</v>
      </c>
      <c r="E430" t="s">
        <v>3</v>
      </c>
      <c r="F430" t="s">
        <v>27</v>
      </c>
      <c r="G430">
        <v>417.62</v>
      </c>
      <c r="H430">
        <v>2</v>
      </c>
      <c r="I430">
        <v>-15.24</v>
      </c>
    </row>
    <row r="431" spans="1:9" x14ac:dyDescent="0.35">
      <c r="A431" t="s">
        <v>531</v>
      </c>
      <c r="B431" t="s">
        <v>528</v>
      </c>
      <c r="C431" t="s">
        <v>34</v>
      </c>
      <c r="D431" t="s">
        <v>17</v>
      </c>
      <c r="E431" t="s">
        <v>5</v>
      </c>
      <c r="F431" t="s">
        <v>41</v>
      </c>
      <c r="G431">
        <v>54.37</v>
      </c>
      <c r="H431">
        <v>6</v>
      </c>
      <c r="I431">
        <v>11.82</v>
      </c>
    </row>
    <row r="432" spans="1:9" x14ac:dyDescent="0.35">
      <c r="A432" t="s">
        <v>532</v>
      </c>
      <c r="B432" t="s">
        <v>528</v>
      </c>
      <c r="C432" t="s">
        <v>16</v>
      </c>
      <c r="D432" t="s">
        <v>17</v>
      </c>
      <c r="E432" t="s">
        <v>5</v>
      </c>
      <c r="F432" t="s">
        <v>31</v>
      </c>
      <c r="G432">
        <v>259.92</v>
      </c>
      <c r="H432">
        <v>3</v>
      </c>
      <c r="I432">
        <v>30.01</v>
      </c>
    </row>
    <row r="433" spans="1:9" x14ac:dyDescent="0.35">
      <c r="A433" t="s">
        <v>533</v>
      </c>
      <c r="B433" t="s">
        <v>528</v>
      </c>
      <c r="C433" t="s">
        <v>22</v>
      </c>
      <c r="D433" t="s">
        <v>38</v>
      </c>
      <c r="E433" t="s">
        <v>4</v>
      </c>
      <c r="F433" t="s">
        <v>24</v>
      </c>
      <c r="G433">
        <v>221.22</v>
      </c>
      <c r="H433">
        <v>6</v>
      </c>
      <c r="I433">
        <v>26.96</v>
      </c>
    </row>
    <row r="434" spans="1:9" x14ac:dyDescent="0.35">
      <c r="A434" t="s">
        <v>534</v>
      </c>
      <c r="B434" t="s">
        <v>535</v>
      </c>
      <c r="C434" t="s">
        <v>16</v>
      </c>
      <c r="D434" t="s">
        <v>23</v>
      </c>
      <c r="E434" t="s">
        <v>4</v>
      </c>
      <c r="F434" t="s">
        <v>39</v>
      </c>
      <c r="G434">
        <v>29.89</v>
      </c>
      <c r="H434">
        <v>3</v>
      </c>
      <c r="I434">
        <v>5.99</v>
      </c>
    </row>
    <row r="435" spans="1:9" x14ac:dyDescent="0.35">
      <c r="A435" t="s">
        <v>536</v>
      </c>
      <c r="B435" t="s">
        <v>535</v>
      </c>
      <c r="C435" t="s">
        <v>22</v>
      </c>
      <c r="D435" t="s">
        <v>38</v>
      </c>
      <c r="E435" t="s">
        <v>5</v>
      </c>
      <c r="F435" t="s">
        <v>31</v>
      </c>
      <c r="G435">
        <v>93.46</v>
      </c>
      <c r="H435">
        <v>8</v>
      </c>
      <c r="I435">
        <v>28.3</v>
      </c>
    </row>
    <row r="436" spans="1:9" x14ac:dyDescent="0.35">
      <c r="A436" t="s">
        <v>537</v>
      </c>
      <c r="B436" t="s">
        <v>535</v>
      </c>
      <c r="C436" t="s">
        <v>26</v>
      </c>
      <c r="D436" t="s">
        <v>17</v>
      </c>
      <c r="E436" t="s">
        <v>5</v>
      </c>
      <c r="F436" t="s">
        <v>31</v>
      </c>
      <c r="G436">
        <v>69.849999999999994</v>
      </c>
      <c r="H436">
        <v>4</v>
      </c>
      <c r="I436">
        <v>4.1900000000000004</v>
      </c>
    </row>
    <row r="437" spans="1:9" x14ac:dyDescent="0.35">
      <c r="A437" t="s">
        <v>538</v>
      </c>
      <c r="B437" t="s">
        <v>535</v>
      </c>
      <c r="C437" t="s">
        <v>22</v>
      </c>
      <c r="D437" t="s">
        <v>23</v>
      </c>
      <c r="E437" t="s">
        <v>4</v>
      </c>
      <c r="F437" t="s">
        <v>24</v>
      </c>
      <c r="G437">
        <v>74.47</v>
      </c>
      <c r="H437">
        <v>6</v>
      </c>
      <c r="I437">
        <v>10.220000000000001</v>
      </c>
    </row>
    <row r="438" spans="1:9" x14ac:dyDescent="0.35">
      <c r="A438" t="s">
        <v>539</v>
      </c>
      <c r="B438" t="s">
        <v>535</v>
      </c>
      <c r="C438" t="s">
        <v>26</v>
      </c>
      <c r="D438" t="s">
        <v>23</v>
      </c>
      <c r="E438" t="s">
        <v>5</v>
      </c>
      <c r="F438" t="s">
        <v>41</v>
      </c>
      <c r="G438">
        <v>630.71</v>
      </c>
      <c r="H438">
        <v>9</v>
      </c>
      <c r="I438">
        <v>70.430000000000007</v>
      </c>
    </row>
    <row r="439" spans="1:9" x14ac:dyDescent="0.35">
      <c r="A439" t="s">
        <v>540</v>
      </c>
      <c r="B439" t="s">
        <v>535</v>
      </c>
      <c r="C439" t="s">
        <v>22</v>
      </c>
      <c r="D439" t="s">
        <v>17</v>
      </c>
      <c r="E439" t="s">
        <v>4</v>
      </c>
      <c r="F439" t="s">
        <v>39</v>
      </c>
      <c r="G439">
        <v>174.41</v>
      </c>
      <c r="H439">
        <v>2</v>
      </c>
      <c r="I439">
        <v>41.89</v>
      </c>
    </row>
    <row r="440" spans="1:9" x14ac:dyDescent="0.35">
      <c r="A440" t="s">
        <v>541</v>
      </c>
      <c r="B440" t="s">
        <v>542</v>
      </c>
      <c r="C440" t="s">
        <v>34</v>
      </c>
      <c r="D440" t="s">
        <v>38</v>
      </c>
      <c r="E440" t="s">
        <v>4</v>
      </c>
      <c r="F440" t="s">
        <v>24</v>
      </c>
      <c r="G440">
        <v>209.71</v>
      </c>
      <c r="H440">
        <v>2</v>
      </c>
      <c r="I440">
        <v>47.9</v>
      </c>
    </row>
    <row r="441" spans="1:9" x14ac:dyDescent="0.35">
      <c r="A441" t="s">
        <v>543</v>
      </c>
      <c r="B441" t="s">
        <v>542</v>
      </c>
      <c r="C441" t="s">
        <v>16</v>
      </c>
      <c r="D441" t="s">
        <v>38</v>
      </c>
      <c r="E441" t="s">
        <v>5</v>
      </c>
      <c r="F441" t="s">
        <v>31</v>
      </c>
      <c r="G441">
        <v>583.37</v>
      </c>
      <c r="H441">
        <v>7</v>
      </c>
      <c r="I441">
        <v>93.45</v>
      </c>
    </row>
    <row r="442" spans="1:9" x14ac:dyDescent="0.35">
      <c r="A442" t="s">
        <v>544</v>
      </c>
      <c r="B442" t="s">
        <v>542</v>
      </c>
      <c r="C442" t="s">
        <v>34</v>
      </c>
      <c r="D442" t="s">
        <v>38</v>
      </c>
      <c r="E442" t="s">
        <v>5</v>
      </c>
      <c r="F442" t="s">
        <v>41</v>
      </c>
      <c r="G442">
        <v>91.03</v>
      </c>
      <c r="H442">
        <v>2</v>
      </c>
      <c r="I442">
        <v>15.78</v>
      </c>
    </row>
    <row r="443" spans="1:9" x14ac:dyDescent="0.35">
      <c r="A443" t="s">
        <v>545</v>
      </c>
      <c r="B443" t="s">
        <v>542</v>
      </c>
      <c r="C443" t="s">
        <v>22</v>
      </c>
      <c r="D443" t="s">
        <v>23</v>
      </c>
      <c r="E443" t="s">
        <v>4</v>
      </c>
      <c r="F443" t="s">
        <v>39</v>
      </c>
      <c r="G443">
        <v>262.8</v>
      </c>
      <c r="H443">
        <v>2</v>
      </c>
      <c r="I443">
        <v>27.3</v>
      </c>
    </row>
    <row r="444" spans="1:9" x14ac:dyDescent="0.35">
      <c r="A444" t="s">
        <v>546</v>
      </c>
      <c r="B444" t="s">
        <v>542</v>
      </c>
      <c r="C444" t="s">
        <v>22</v>
      </c>
      <c r="D444" t="s">
        <v>17</v>
      </c>
      <c r="E444" t="s">
        <v>3</v>
      </c>
      <c r="F444" t="s">
        <v>27</v>
      </c>
      <c r="G444">
        <v>105.51</v>
      </c>
      <c r="H444">
        <v>4</v>
      </c>
      <c r="I444">
        <v>-29.04</v>
      </c>
    </row>
    <row r="445" spans="1:9" x14ac:dyDescent="0.35">
      <c r="A445" t="s">
        <v>547</v>
      </c>
      <c r="B445" t="s">
        <v>542</v>
      </c>
      <c r="C445" t="s">
        <v>22</v>
      </c>
      <c r="D445" t="s">
        <v>17</v>
      </c>
      <c r="E445" t="s">
        <v>3</v>
      </c>
      <c r="F445" t="s">
        <v>27</v>
      </c>
      <c r="G445">
        <v>325.5</v>
      </c>
      <c r="H445">
        <v>9</v>
      </c>
      <c r="I445">
        <v>-5.34</v>
      </c>
    </row>
    <row r="446" spans="1:9" x14ac:dyDescent="0.35">
      <c r="A446" t="s">
        <v>548</v>
      </c>
      <c r="B446" t="s">
        <v>549</v>
      </c>
      <c r="C446" t="s">
        <v>26</v>
      </c>
      <c r="D446" t="s">
        <v>38</v>
      </c>
      <c r="E446" t="s">
        <v>4</v>
      </c>
      <c r="F446" t="s">
        <v>24</v>
      </c>
      <c r="G446">
        <v>49.89</v>
      </c>
      <c r="H446">
        <v>8</v>
      </c>
      <c r="I446">
        <v>6.12</v>
      </c>
    </row>
    <row r="447" spans="1:9" x14ac:dyDescent="0.35">
      <c r="A447" t="s">
        <v>550</v>
      </c>
      <c r="B447" t="s">
        <v>549</v>
      </c>
      <c r="C447" t="s">
        <v>16</v>
      </c>
      <c r="D447" t="s">
        <v>17</v>
      </c>
      <c r="E447" t="s">
        <v>4</v>
      </c>
      <c r="F447" t="s">
        <v>20</v>
      </c>
      <c r="G447">
        <v>462.57</v>
      </c>
      <c r="H447">
        <v>2</v>
      </c>
      <c r="I447">
        <v>114.26</v>
      </c>
    </row>
    <row r="448" spans="1:9" x14ac:dyDescent="0.35">
      <c r="A448" t="s">
        <v>551</v>
      </c>
      <c r="B448" t="s">
        <v>549</v>
      </c>
      <c r="C448" t="s">
        <v>16</v>
      </c>
      <c r="D448" t="s">
        <v>23</v>
      </c>
      <c r="E448" t="s">
        <v>4</v>
      </c>
      <c r="F448" t="s">
        <v>39</v>
      </c>
      <c r="G448">
        <v>57.03</v>
      </c>
      <c r="H448">
        <v>8</v>
      </c>
      <c r="I448">
        <v>2.29</v>
      </c>
    </row>
    <row r="449" spans="1:9" x14ac:dyDescent="0.35">
      <c r="A449" t="s">
        <v>552</v>
      </c>
      <c r="B449" t="s">
        <v>549</v>
      </c>
      <c r="C449" t="s">
        <v>22</v>
      </c>
      <c r="D449" t="s">
        <v>23</v>
      </c>
      <c r="E449" t="s">
        <v>4</v>
      </c>
      <c r="F449" t="s">
        <v>20</v>
      </c>
      <c r="G449">
        <v>79.23</v>
      </c>
      <c r="H449">
        <v>4</v>
      </c>
      <c r="I449">
        <v>6.98</v>
      </c>
    </row>
    <row r="450" spans="1:9" x14ac:dyDescent="0.35">
      <c r="A450" t="s">
        <v>553</v>
      </c>
      <c r="B450" t="s">
        <v>549</v>
      </c>
      <c r="C450" t="s">
        <v>22</v>
      </c>
      <c r="D450" t="s">
        <v>23</v>
      </c>
      <c r="E450" t="s">
        <v>3</v>
      </c>
      <c r="F450" t="s">
        <v>49</v>
      </c>
      <c r="G450">
        <v>231.71</v>
      </c>
      <c r="H450">
        <v>2</v>
      </c>
      <c r="I450">
        <v>-46.49</v>
      </c>
    </row>
    <row r="451" spans="1:9" x14ac:dyDescent="0.35">
      <c r="A451" t="s">
        <v>554</v>
      </c>
      <c r="B451" t="s">
        <v>549</v>
      </c>
      <c r="C451" t="s">
        <v>26</v>
      </c>
      <c r="D451" t="s">
        <v>38</v>
      </c>
      <c r="E451" t="s">
        <v>5</v>
      </c>
      <c r="F451" t="s">
        <v>41</v>
      </c>
      <c r="G451">
        <v>95.07</v>
      </c>
      <c r="H451">
        <v>7</v>
      </c>
      <c r="I451">
        <v>14.22</v>
      </c>
    </row>
    <row r="452" spans="1:9" x14ac:dyDescent="0.35">
      <c r="A452" t="s">
        <v>555</v>
      </c>
      <c r="B452" t="s">
        <v>556</v>
      </c>
      <c r="C452" t="s">
        <v>34</v>
      </c>
      <c r="D452" t="s">
        <v>17</v>
      </c>
      <c r="E452" t="s">
        <v>4</v>
      </c>
      <c r="F452" t="s">
        <v>39</v>
      </c>
      <c r="G452">
        <v>160.55000000000001</v>
      </c>
      <c r="H452">
        <v>6</v>
      </c>
      <c r="I452">
        <v>5.1100000000000003</v>
      </c>
    </row>
    <row r="453" spans="1:9" x14ac:dyDescent="0.35">
      <c r="A453" t="s">
        <v>557</v>
      </c>
      <c r="B453" t="s">
        <v>556</v>
      </c>
      <c r="C453" t="s">
        <v>34</v>
      </c>
      <c r="D453" t="s">
        <v>17</v>
      </c>
      <c r="E453" t="s">
        <v>3</v>
      </c>
      <c r="F453" t="s">
        <v>49</v>
      </c>
      <c r="G453">
        <v>108.2</v>
      </c>
      <c r="H453">
        <v>5</v>
      </c>
      <c r="I453">
        <v>5.37</v>
      </c>
    </row>
    <row r="454" spans="1:9" x14ac:dyDescent="0.35">
      <c r="A454" t="s">
        <v>558</v>
      </c>
      <c r="B454" t="s">
        <v>556</v>
      </c>
      <c r="C454" t="s">
        <v>16</v>
      </c>
      <c r="D454" t="s">
        <v>17</v>
      </c>
      <c r="E454" t="s">
        <v>3</v>
      </c>
      <c r="F454" t="s">
        <v>49</v>
      </c>
      <c r="G454">
        <v>223.43</v>
      </c>
      <c r="H454">
        <v>1</v>
      </c>
      <c r="I454">
        <v>-26.77</v>
      </c>
    </row>
    <row r="455" spans="1:9" x14ac:dyDescent="0.35">
      <c r="A455" t="s">
        <v>559</v>
      </c>
      <c r="B455" t="s">
        <v>556</v>
      </c>
      <c r="C455" t="s">
        <v>26</v>
      </c>
      <c r="D455" t="s">
        <v>17</v>
      </c>
      <c r="E455" t="s">
        <v>4</v>
      </c>
      <c r="F455" t="s">
        <v>39</v>
      </c>
      <c r="G455">
        <v>58.88</v>
      </c>
      <c r="H455">
        <v>2</v>
      </c>
      <c r="I455">
        <v>9.56</v>
      </c>
    </row>
    <row r="456" spans="1:9" x14ac:dyDescent="0.35">
      <c r="A456" t="s">
        <v>560</v>
      </c>
      <c r="B456" t="s">
        <v>556</v>
      </c>
      <c r="C456" t="s">
        <v>22</v>
      </c>
      <c r="D456" t="s">
        <v>17</v>
      </c>
      <c r="E456" t="s">
        <v>5</v>
      </c>
      <c r="F456" t="s">
        <v>41</v>
      </c>
      <c r="G456">
        <v>29.04</v>
      </c>
      <c r="H456">
        <v>8</v>
      </c>
      <c r="I456">
        <v>6.15</v>
      </c>
    </row>
    <row r="457" spans="1:9" x14ac:dyDescent="0.35">
      <c r="A457" t="s">
        <v>561</v>
      </c>
      <c r="B457" t="s">
        <v>556</v>
      </c>
      <c r="C457" t="s">
        <v>16</v>
      </c>
      <c r="D457" t="s">
        <v>17</v>
      </c>
      <c r="E457" t="s">
        <v>3</v>
      </c>
      <c r="F457" t="s">
        <v>18</v>
      </c>
      <c r="G457">
        <v>73.489999999999995</v>
      </c>
      <c r="H457">
        <v>1</v>
      </c>
      <c r="I457">
        <v>-13</v>
      </c>
    </row>
    <row r="458" spans="1:9" x14ac:dyDescent="0.35">
      <c r="A458" t="s">
        <v>562</v>
      </c>
      <c r="B458" t="s">
        <v>563</v>
      </c>
      <c r="C458" t="s">
        <v>26</v>
      </c>
      <c r="D458" t="s">
        <v>38</v>
      </c>
      <c r="E458" t="s">
        <v>5</v>
      </c>
      <c r="F458" t="s">
        <v>31</v>
      </c>
      <c r="G458">
        <v>116.46</v>
      </c>
      <c r="H458">
        <v>3</v>
      </c>
      <c r="I458">
        <v>27.15</v>
      </c>
    </row>
    <row r="459" spans="1:9" x14ac:dyDescent="0.35">
      <c r="A459" t="s">
        <v>564</v>
      </c>
      <c r="B459" t="s">
        <v>563</v>
      </c>
      <c r="C459" t="s">
        <v>34</v>
      </c>
      <c r="D459" t="s">
        <v>38</v>
      </c>
      <c r="E459" t="s">
        <v>3</v>
      </c>
      <c r="F459" t="s">
        <v>27</v>
      </c>
      <c r="G459">
        <v>47.59</v>
      </c>
      <c r="H459">
        <v>2</v>
      </c>
      <c r="I459">
        <v>0.47</v>
      </c>
    </row>
    <row r="460" spans="1:9" x14ac:dyDescent="0.35">
      <c r="A460" t="s">
        <v>565</v>
      </c>
      <c r="B460" t="s">
        <v>563</v>
      </c>
      <c r="C460" t="s">
        <v>26</v>
      </c>
      <c r="D460" t="s">
        <v>17</v>
      </c>
      <c r="E460" t="s">
        <v>5</v>
      </c>
      <c r="F460" t="s">
        <v>29</v>
      </c>
      <c r="G460">
        <v>85.73</v>
      </c>
      <c r="H460">
        <v>5</v>
      </c>
      <c r="I460">
        <v>11.08</v>
      </c>
    </row>
    <row r="461" spans="1:9" x14ac:dyDescent="0.35">
      <c r="A461" t="s">
        <v>566</v>
      </c>
      <c r="B461" t="s">
        <v>563</v>
      </c>
      <c r="C461" t="s">
        <v>34</v>
      </c>
      <c r="D461" t="s">
        <v>17</v>
      </c>
      <c r="E461" t="s">
        <v>5</v>
      </c>
      <c r="F461" t="s">
        <v>29</v>
      </c>
      <c r="G461">
        <v>96.62</v>
      </c>
      <c r="H461">
        <v>4</v>
      </c>
      <c r="I461">
        <v>31.97</v>
      </c>
    </row>
    <row r="462" spans="1:9" x14ac:dyDescent="0.35">
      <c r="A462" t="s">
        <v>567</v>
      </c>
      <c r="B462" t="s">
        <v>563</v>
      </c>
      <c r="C462" t="s">
        <v>26</v>
      </c>
      <c r="D462" t="s">
        <v>38</v>
      </c>
      <c r="E462" t="s">
        <v>5</v>
      </c>
      <c r="F462" t="s">
        <v>29</v>
      </c>
      <c r="G462">
        <v>28.87</v>
      </c>
      <c r="H462">
        <v>7</v>
      </c>
      <c r="I462">
        <v>4.76</v>
      </c>
    </row>
    <row r="463" spans="1:9" x14ac:dyDescent="0.35">
      <c r="A463" t="s">
        <v>568</v>
      </c>
      <c r="B463" t="s">
        <v>563</v>
      </c>
      <c r="C463" t="s">
        <v>16</v>
      </c>
      <c r="D463" t="s">
        <v>17</v>
      </c>
      <c r="E463" t="s">
        <v>4</v>
      </c>
      <c r="F463" t="s">
        <v>20</v>
      </c>
      <c r="G463">
        <v>151.31</v>
      </c>
      <c r="H463">
        <v>5</v>
      </c>
      <c r="I463">
        <v>15.39</v>
      </c>
    </row>
    <row r="464" spans="1:9" x14ac:dyDescent="0.35">
      <c r="A464" t="s">
        <v>569</v>
      </c>
      <c r="B464" t="s">
        <v>570</v>
      </c>
      <c r="C464" t="s">
        <v>34</v>
      </c>
      <c r="D464" t="s">
        <v>17</v>
      </c>
      <c r="E464" t="s">
        <v>4</v>
      </c>
      <c r="F464" t="s">
        <v>39</v>
      </c>
      <c r="G464">
        <v>343.57</v>
      </c>
      <c r="H464">
        <v>8</v>
      </c>
      <c r="I464">
        <v>69.77</v>
      </c>
    </row>
    <row r="465" spans="1:9" x14ac:dyDescent="0.35">
      <c r="A465" t="s">
        <v>571</v>
      </c>
      <c r="B465" t="s">
        <v>570</v>
      </c>
      <c r="C465" t="s">
        <v>16</v>
      </c>
      <c r="D465" t="s">
        <v>17</v>
      </c>
      <c r="E465" t="s">
        <v>3</v>
      </c>
      <c r="F465" t="s">
        <v>27</v>
      </c>
      <c r="G465">
        <v>44.69</v>
      </c>
      <c r="H465">
        <v>4</v>
      </c>
      <c r="I465">
        <v>-5.2</v>
      </c>
    </row>
    <row r="466" spans="1:9" x14ac:dyDescent="0.35">
      <c r="A466" t="s">
        <v>572</v>
      </c>
      <c r="B466" t="s">
        <v>570</v>
      </c>
      <c r="C466" t="s">
        <v>16</v>
      </c>
      <c r="D466" t="s">
        <v>23</v>
      </c>
      <c r="E466" t="s">
        <v>4</v>
      </c>
      <c r="F466" t="s">
        <v>39</v>
      </c>
      <c r="G466">
        <v>156.62</v>
      </c>
      <c r="H466">
        <v>6</v>
      </c>
      <c r="I466">
        <v>24.08</v>
      </c>
    </row>
    <row r="467" spans="1:9" x14ac:dyDescent="0.35">
      <c r="A467" t="s">
        <v>573</v>
      </c>
      <c r="B467" t="s">
        <v>570</v>
      </c>
      <c r="C467" t="s">
        <v>34</v>
      </c>
      <c r="D467" t="s">
        <v>17</v>
      </c>
      <c r="E467" t="s">
        <v>3</v>
      </c>
      <c r="F467" t="s">
        <v>27</v>
      </c>
      <c r="G467">
        <v>183.93</v>
      </c>
      <c r="H467">
        <v>4</v>
      </c>
      <c r="I467">
        <v>-14.98</v>
      </c>
    </row>
    <row r="468" spans="1:9" x14ac:dyDescent="0.35">
      <c r="A468" t="s">
        <v>574</v>
      </c>
      <c r="B468" t="s">
        <v>570</v>
      </c>
      <c r="C468" t="s">
        <v>34</v>
      </c>
      <c r="D468" t="s">
        <v>38</v>
      </c>
      <c r="E468" t="s">
        <v>5</v>
      </c>
      <c r="F468" t="s">
        <v>31</v>
      </c>
      <c r="G468">
        <v>101.54</v>
      </c>
      <c r="H468">
        <v>2</v>
      </c>
      <c r="I468">
        <v>26.7</v>
      </c>
    </row>
    <row r="469" spans="1:9" x14ac:dyDescent="0.35">
      <c r="A469" t="s">
        <v>575</v>
      </c>
      <c r="B469" t="s">
        <v>570</v>
      </c>
      <c r="C469" t="s">
        <v>22</v>
      </c>
      <c r="D469" t="s">
        <v>17</v>
      </c>
      <c r="E469" t="s">
        <v>4</v>
      </c>
      <c r="F469" t="s">
        <v>20</v>
      </c>
      <c r="G469">
        <v>201.15</v>
      </c>
      <c r="H469">
        <v>1</v>
      </c>
      <c r="I469">
        <v>-17.72</v>
      </c>
    </row>
    <row r="470" spans="1:9" x14ac:dyDescent="0.35">
      <c r="A470" t="s">
        <v>576</v>
      </c>
      <c r="B470" t="s">
        <v>577</v>
      </c>
      <c r="C470" t="s">
        <v>22</v>
      </c>
      <c r="D470" t="s">
        <v>23</v>
      </c>
      <c r="E470" t="s">
        <v>5</v>
      </c>
      <c r="F470" t="s">
        <v>41</v>
      </c>
      <c r="G470">
        <v>99.33</v>
      </c>
      <c r="H470">
        <v>1</v>
      </c>
      <c r="I470">
        <v>6.66</v>
      </c>
    </row>
    <row r="471" spans="1:9" x14ac:dyDescent="0.35">
      <c r="A471" t="s">
        <v>578</v>
      </c>
      <c r="B471" t="s">
        <v>577</v>
      </c>
      <c r="C471" t="s">
        <v>22</v>
      </c>
      <c r="D471" t="s">
        <v>17</v>
      </c>
      <c r="E471" t="s">
        <v>4</v>
      </c>
      <c r="F471" t="s">
        <v>20</v>
      </c>
      <c r="G471">
        <v>125.37</v>
      </c>
      <c r="H471">
        <v>8</v>
      </c>
      <c r="I471">
        <v>26.53</v>
      </c>
    </row>
    <row r="472" spans="1:9" x14ac:dyDescent="0.35">
      <c r="A472" t="s">
        <v>579</v>
      </c>
      <c r="B472" t="s">
        <v>577</v>
      </c>
      <c r="C472" t="s">
        <v>16</v>
      </c>
      <c r="D472" t="s">
        <v>17</v>
      </c>
      <c r="E472" t="s">
        <v>5</v>
      </c>
      <c r="F472" t="s">
        <v>41</v>
      </c>
      <c r="G472">
        <v>21.11</v>
      </c>
      <c r="H472">
        <v>4</v>
      </c>
      <c r="I472">
        <v>7.47</v>
      </c>
    </row>
    <row r="473" spans="1:9" x14ac:dyDescent="0.35">
      <c r="A473" t="s">
        <v>580</v>
      </c>
      <c r="B473" t="s">
        <v>577</v>
      </c>
      <c r="C473" t="s">
        <v>16</v>
      </c>
      <c r="D473" t="s">
        <v>23</v>
      </c>
      <c r="E473" t="s">
        <v>4</v>
      </c>
      <c r="F473" t="s">
        <v>24</v>
      </c>
      <c r="G473">
        <v>196.51</v>
      </c>
      <c r="H473">
        <v>5</v>
      </c>
      <c r="I473">
        <v>11.58</v>
      </c>
    </row>
    <row r="474" spans="1:9" x14ac:dyDescent="0.35">
      <c r="A474" t="s">
        <v>581</v>
      </c>
      <c r="B474" t="s">
        <v>577</v>
      </c>
      <c r="C474" t="s">
        <v>22</v>
      </c>
      <c r="D474" t="s">
        <v>23</v>
      </c>
      <c r="E474" t="s">
        <v>5</v>
      </c>
      <c r="F474" t="s">
        <v>29</v>
      </c>
      <c r="G474">
        <v>182.41</v>
      </c>
      <c r="H474">
        <v>8</v>
      </c>
      <c r="I474">
        <v>41.15</v>
      </c>
    </row>
    <row r="475" spans="1:9" x14ac:dyDescent="0.35">
      <c r="A475" t="s">
        <v>582</v>
      </c>
      <c r="B475" t="s">
        <v>577</v>
      </c>
      <c r="C475" t="s">
        <v>16</v>
      </c>
      <c r="D475" t="s">
        <v>23</v>
      </c>
      <c r="E475" t="s">
        <v>4</v>
      </c>
      <c r="F475" t="s">
        <v>20</v>
      </c>
      <c r="G475">
        <v>25.87</v>
      </c>
      <c r="H475">
        <v>7</v>
      </c>
      <c r="I475">
        <v>4.6399999999999997</v>
      </c>
    </row>
    <row r="476" spans="1:9" x14ac:dyDescent="0.35">
      <c r="A476" t="s">
        <v>583</v>
      </c>
      <c r="B476" t="s">
        <v>584</v>
      </c>
      <c r="C476" t="s">
        <v>16</v>
      </c>
      <c r="D476" t="s">
        <v>23</v>
      </c>
      <c r="E476" t="s">
        <v>3</v>
      </c>
      <c r="F476" t="s">
        <v>27</v>
      </c>
      <c r="G476">
        <v>88.89</v>
      </c>
      <c r="H476">
        <v>8</v>
      </c>
      <c r="I476">
        <v>1.72</v>
      </c>
    </row>
    <row r="477" spans="1:9" x14ac:dyDescent="0.35">
      <c r="A477" t="s">
        <v>585</v>
      </c>
      <c r="B477" t="s">
        <v>584</v>
      </c>
      <c r="C477" t="s">
        <v>34</v>
      </c>
      <c r="D477" t="s">
        <v>38</v>
      </c>
      <c r="E477" t="s">
        <v>4</v>
      </c>
      <c r="F477" t="s">
        <v>24</v>
      </c>
      <c r="G477">
        <v>599.71</v>
      </c>
      <c r="H477">
        <v>8</v>
      </c>
      <c r="I477">
        <v>-31.65</v>
      </c>
    </row>
    <row r="478" spans="1:9" x14ac:dyDescent="0.35">
      <c r="A478" t="s">
        <v>586</v>
      </c>
      <c r="B478" t="s">
        <v>584</v>
      </c>
      <c r="C478" t="s">
        <v>34</v>
      </c>
      <c r="D478" t="s">
        <v>38</v>
      </c>
      <c r="E478" t="s">
        <v>5</v>
      </c>
      <c r="F478" t="s">
        <v>31</v>
      </c>
      <c r="G478">
        <v>101.9</v>
      </c>
      <c r="H478">
        <v>6</v>
      </c>
      <c r="I478">
        <v>16.45</v>
      </c>
    </row>
    <row r="479" spans="1:9" x14ac:dyDescent="0.35">
      <c r="A479" t="s">
        <v>587</v>
      </c>
      <c r="B479" t="s">
        <v>584</v>
      </c>
      <c r="C479" t="s">
        <v>16</v>
      </c>
      <c r="D479" t="s">
        <v>23</v>
      </c>
      <c r="E479" t="s">
        <v>3</v>
      </c>
      <c r="F479" t="s">
        <v>18</v>
      </c>
      <c r="G479">
        <v>124.56</v>
      </c>
      <c r="H479">
        <v>2</v>
      </c>
      <c r="I479">
        <v>-10.37</v>
      </c>
    </row>
    <row r="480" spans="1:9" x14ac:dyDescent="0.35">
      <c r="A480" t="s">
        <v>588</v>
      </c>
      <c r="B480" t="s">
        <v>584</v>
      </c>
      <c r="C480" t="s">
        <v>22</v>
      </c>
      <c r="D480" t="s">
        <v>17</v>
      </c>
      <c r="E480" t="s">
        <v>4</v>
      </c>
      <c r="F480" t="s">
        <v>39</v>
      </c>
      <c r="G480">
        <v>381.08</v>
      </c>
      <c r="H480">
        <v>6</v>
      </c>
      <c r="I480">
        <v>83.96</v>
      </c>
    </row>
    <row r="481" spans="1:9" x14ac:dyDescent="0.35">
      <c r="A481" t="s">
        <v>589</v>
      </c>
      <c r="B481" t="s">
        <v>584</v>
      </c>
      <c r="C481" t="s">
        <v>26</v>
      </c>
      <c r="D481" t="s">
        <v>17</v>
      </c>
      <c r="E481" t="s">
        <v>3</v>
      </c>
      <c r="F481" t="s">
        <v>18</v>
      </c>
      <c r="G481">
        <v>209.49</v>
      </c>
      <c r="H481">
        <v>1</v>
      </c>
      <c r="I481">
        <v>41.87</v>
      </c>
    </row>
    <row r="482" spans="1:9" x14ac:dyDescent="0.35">
      <c r="A482" t="s">
        <v>590</v>
      </c>
      <c r="B482" t="s">
        <v>591</v>
      </c>
      <c r="C482" t="s">
        <v>22</v>
      </c>
      <c r="D482" t="s">
        <v>17</v>
      </c>
      <c r="E482" t="s">
        <v>4</v>
      </c>
      <c r="F482" t="s">
        <v>39</v>
      </c>
      <c r="G482">
        <v>150.87</v>
      </c>
      <c r="H482">
        <v>1</v>
      </c>
      <c r="I482">
        <v>19.190000000000001</v>
      </c>
    </row>
    <row r="483" spans="1:9" x14ac:dyDescent="0.35">
      <c r="A483" t="s">
        <v>592</v>
      </c>
      <c r="B483" t="s">
        <v>591</v>
      </c>
      <c r="C483" t="s">
        <v>26</v>
      </c>
      <c r="D483" t="s">
        <v>23</v>
      </c>
      <c r="E483" t="s">
        <v>4</v>
      </c>
      <c r="F483" t="s">
        <v>20</v>
      </c>
      <c r="G483">
        <v>259.77999999999997</v>
      </c>
      <c r="H483">
        <v>3</v>
      </c>
      <c r="I483">
        <v>2.42</v>
      </c>
    </row>
    <row r="484" spans="1:9" x14ac:dyDescent="0.35">
      <c r="A484" t="s">
        <v>593</v>
      </c>
      <c r="B484" t="s">
        <v>591</v>
      </c>
      <c r="C484" t="s">
        <v>22</v>
      </c>
      <c r="D484" t="s">
        <v>17</v>
      </c>
      <c r="E484" t="s">
        <v>3</v>
      </c>
      <c r="F484" t="s">
        <v>18</v>
      </c>
      <c r="G484">
        <v>319.67</v>
      </c>
      <c r="H484">
        <v>3</v>
      </c>
      <c r="I484">
        <v>-3.12</v>
      </c>
    </row>
    <row r="485" spans="1:9" x14ac:dyDescent="0.35">
      <c r="A485" t="s">
        <v>594</v>
      </c>
      <c r="B485" t="s">
        <v>591</v>
      </c>
      <c r="C485" t="s">
        <v>34</v>
      </c>
      <c r="D485" t="s">
        <v>17</v>
      </c>
      <c r="E485" t="s">
        <v>4</v>
      </c>
      <c r="F485" t="s">
        <v>24</v>
      </c>
      <c r="G485">
        <v>111.57</v>
      </c>
      <c r="H485">
        <v>5</v>
      </c>
      <c r="I485">
        <v>31.47</v>
      </c>
    </row>
    <row r="486" spans="1:9" x14ac:dyDescent="0.35">
      <c r="A486" t="s">
        <v>595</v>
      </c>
      <c r="B486" t="s">
        <v>591</v>
      </c>
      <c r="C486" t="s">
        <v>16</v>
      </c>
      <c r="D486" t="s">
        <v>38</v>
      </c>
      <c r="E486" t="s">
        <v>3</v>
      </c>
      <c r="F486" t="s">
        <v>49</v>
      </c>
      <c r="G486">
        <v>116.68</v>
      </c>
      <c r="H486">
        <v>1</v>
      </c>
      <c r="I486">
        <v>-4.57</v>
      </c>
    </row>
    <row r="487" spans="1:9" x14ac:dyDescent="0.35">
      <c r="A487" t="s">
        <v>596</v>
      </c>
      <c r="B487" t="s">
        <v>591</v>
      </c>
      <c r="C487" t="s">
        <v>16</v>
      </c>
      <c r="D487" t="s">
        <v>38</v>
      </c>
      <c r="E487" t="s">
        <v>4</v>
      </c>
      <c r="F487" t="s">
        <v>20</v>
      </c>
      <c r="G487">
        <v>93.18</v>
      </c>
      <c r="H487">
        <v>6</v>
      </c>
      <c r="I487">
        <v>5.53</v>
      </c>
    </row>
    <row r="488" spans="1:9" x14ac:dyDescent="0.35">
      <c r="A488" t="s">
        <v>597</v>
      </c>
      <c r="B488" t="s">
        <v>598</v>
      </c>
      <c r="C488" t="s">
        <v>34</v>
      </c>
      <c r="D488" t="s">
        <v>38</v>
      </c>
      <c r="E488" t="s">
        <v>5</v>
      </c>
      <c r="F488" t="s">
        <v>29</v>
      </c>
      <c r="G488">
        <v>530.36</v>
      </c>
      <c r="H488">
        <v>7</v>
      </c>
      <c r="I488">
        <v>183.4</v>
      </c>
    </row>
    <row r="489" spans="1:9" x14ac:dyDescent="0.35">
      <c r="A489" t="s">
        <v>599</v>
      </c>
      <c r="B489" t="s">
        <v>598</v>
      </c>
      <c r="C489" t="s">
        <v>26</v>
      </c>
      <c r="D489" t="s">
        <v>17</v>
      </c>
      <c r="E489" t="s">
        <v>5</v>
      </c>
      <c r="F489" t="s">
        <v>31</v>
      </c>
      <c r="G489">
        <v>199.19</v>
      </c>
      <c r="H489">
        <v>3</v>
      </c>
      <c r="I489">
        <v>63.01</v>
      </c>
    </row>
    <row r="490" spans="1:9" x14ac:dyDescent="0.35">
      <c r="A490" t="s">
        <v>600</v>
      </c>
      <c r="B490" t="s">
        <v>598</v>
      </c>
      <c r="C490" t="s">
        <v>26</v>
      </c>
      <c r="D490" t="s">
        <v>23</v>
      </c>
      <c r="E490" t="s">
        <v>4</v>
      </c>
      <c r="F490" t="s">
        <v>24</v>
      </c>
      <c r="G490">
        <v>33.03</v>
      </c>
      <c r="H490">
        <v>4</v>
      </c>
      <c r="I490">
        <v>1.57</v>
      </c>
    </row>
    <row r="491" spans="1:9" x14ac:dyDescent="0.35">
      <c r="A491" t="s">
        <v>601</v>
      </c>
      <c r="B491" t="s">
        <v>598</v>
      </c>
      <c r="C491" t="s">
        <v>26</v>
      </c>
      <c r="D491" t="s">
        <v>17</v>
      </c>
      <c r="E491" t="s">
        <v>4</v>
      </c>
      <c r="F491" t="s">
        <v>39</v>
      </c>
      <c r="G491">
        <v>318.12</v>
      </c>
      <c r="H491">
        <v>3</v>
      </c>
      <c r="I491">
        <v>59.85</v>
      </c>
    </row>
    <row r="492" spans="1:9" x14ac:dyDescent="0.35">
      <c r="A492" t="s">
        <v>602</v>
      </c>
      <c r="B492" t="s">
        <v>598</v>
      </c>
      <c r="C492" t="s">
        <v>34</v>
      </c>
      <c r="D492" t="s">
        <v>17</v>
      </c>
      <c r="E492" t="s">
        <v>3</v>
      </c>
      <c r="F492" t="s">
        <v>18</v>
      </c>
      <c r="G492">
        <v>118.25</v>
      </c>
      <c r="H492">
        <v>1</v>
      </c>
      <c r="I492">
        <v>5.88</v>
      </c>
    </row>
    <row r="493" spans="1:9" x14ac:dyDescent="0.35">
      <c r="A493" t="s">
        <v>603</v>
      </c>
      <c r="B493" t="s">
        <v>598</v>
      </c>
      <c r="C493" t="s">
        <v>26</v>
      </c>
      <c r="D493" t="s">
        <v>17</v>
      </c>
      <c r="E493" t="s">
        <v>4</v>
      </c>
      <c r="F493" t="s">
        <v>39</v>
      </c>
      <c r="G493">
        <v>30.68</v>
      </c>
      <c r="H493">
        <v>8</v>
      </c>
      <c r="I493">
        <v>8.23</v>
      </c>
    </row>
    <row r="494" spans="1:9" x14ac:dyDescent="0.35">
      <c r="A494" t="s">
        <v>604</v>
      </c>
      <c r="B494" t="s">
        <v>605</v>
      </c>
      <c r="C494" t="s">
        <v>34</v>
      </c>
      <c r="D494" t="s">
        <v>17</v>
      </c>
      <c r="E494" t="s">
        <v>5</v>
      </c>
      <c r="F494" t="s">
        <v>29</v>
      </c>
      <c r="G494">
        <v>139.68</v>
      </c>
      <c r="H494">
        <v>2</v>
      </c>
      <c r="I494">
        <v>33.99</v>
      </c>
    </row>
    <row r="495" spans="1:9" x14ac:dyDescent="0.35">
      <c r="A495" t="s">
        <v>606</v>
      </c>
      <c r="B495" t="s">
        <v>605</v>
      </c>
      <c r="C495" t="s">
        <v>22</v>
      </c>
      <c r="D495" t="s">
        <v>17</v>
      </c>
      <c r="E495" t="s">
        <v>5</v>
      </c>
      <c r="F495" t="s">
        <v>41</v>
      </c>
      <c r="G495">
        <v>100.98</v>
      </c>
      <c r="H495">
        <v>1</v>
      </c>
      <c r="I495">
        <v>21.63</v>
      </c>
    </row>
    <row r="496" spans="1:9" x14ac:dyDescent="0.35">
      <c r="A496" t="s">
        <v>607</v>
      </c>
      <c r="B496" t="s">
        <v>605</v>
      </c>
      <c r="C496" t="s">
        <v>22</v>
      </c>
      <c r="D496" t="s">
        <v>38</v>
      </c>
      <c r="E496" t="s">
        <v>3</v>
      </c>
      <c r="F496" t="s">
        <v>27</v>
      </c>
      <c r="G496">
        <v>335.25</v>
      </c>
      <c r="H496">
        <v>8</v>
      </c>
      <c r="I496">
        <v>24.38</v>
      </c>
    </row>
    <row r="497" spans="1:9" x14ac:dyDescent="0.35">
      <c r="A497" t="s">
        <v>608</v>
      </c>
      <c r="B497" t="s">
        <v>605</v>
      </c>
      <c r="C497" t="s">
        <v>34</v>
      </c>
      <c r="D497" t="s">
        <v>17</v>
      </c>
      <c r="E497" t="s">
        <v>3</v>
      </c>
      <c r="F497" t="s">
        <v>18</v>
      </c>
      <c r="G497">
        <v>54.22</v>
      </c>
      <c r="H497">
        <v>7</v>
      </c>
      <c r="I497">
        <v>-9.27</v>
      </c>
    </row>
    <row r="498" spans="1:9" x14ac:dyDescent="0.35">
      <c r="A498" t="s">
        <v>609</v>
      </c>
      <c r="B498" t="s">
        <v>605</v>
      </c>
      <c r="C498" t="s">
        <v>16</v>
      </c>
      <c r="D498" t="s">
        <v>23</v>
      </c>
      <c r="E498" t="s">
        <v>3</v>
      </c>
      <c r="F498" t="s">
        <v>49</v>
      </c>
      <c r="G498">
        <v>282.70999999999998</v>
      </c>
      <c r="H498">
        <v>7</v>
      </c>
      <c r="I498">
        <v>-1.74</v>
      </c>
    </row>
    <row r="499" spans="1:9" x14ac:dyDescent="0.35">
      <c r="A499" t="s">
        <v>610</v>
      </c>
      <c r="B499" t="s">
        <v>605</v>
      </c>
      <c r="C499" t="s">
        <v>22</v>
      </c>
      <c r="D499" t="s">
        <v>23</v>
      </c>
      <c r="E499" t="s">
        <v>5</v>
      </c>
      <c r="F499" t="s">
        <v>31</v>
      </c>
      <c r="G499">
        <v>142.36000000000001</v>
      </c>
      <c r="H499">
        <v>4</v>
      </c>
      <c r="I499">
        <v>16.09</v>
      </c>
    </row>
    <row r="500" spans="1:9" x14ac:dyDescent="0.35">
      <c r="A500" t="s">
        <v>611</v>
      </c>
      <c r="B500" t="s">
        <v>612</v>
      </c>
      <c r="C500" t="s">
        <v>26</v>
      </c>
      <c r="D500" t="s">
        <v>17</v>
      </c>
      <c r="E500" t="s">
        <v>4</v>
      </c>
      <c r="F500" t="s">
        <v>24</v>
      </c>
      <c r="G500">
        <v>28.42</v>
      </c>
      <c r="H500">
        <v>9</v>
      </c>
      <c r="I500">
        <v>7.29</v>
      </c>
    </row>
    <row r="501" spans="1:9" x14ac:dyDescent="0.35">
      <c r="A501" t="s">
        <v>613</v>
      </c>
      <c r="B501" t="s">
        <v>612</v>
      </c>
      <c r="C501" t="s">
        <v>34</v>
      </c>
      <c r="D501" t="s">
        <v>17</v>
      </c>
      <c r="E501" t="s">
        <v>4</v>
      </c>
      <c r="F501" t="s">
        <v>39</v>
      </c>
      <c r="G501">
        <v>555.51</v>
      </c>
      <c r="H501">
        <v>6</v>
      </c>
      <c r="I501">
        <v>68.989999999999995</v>
      </c>
    </row>
    <row r="502" spans="1:9" x14ac:dyDescent="0.35">
      <c r="A502" t="s">
        <v>614</v>
      </c>
      <c r="B502" t="s">
        <v>612</v>
      </c>
      <c r="C502" t="s">
        <v>26</v>
      </c>
      <c r="D502" t="s">
        <v>17</v>
      </c>
      <c r="E502" t="s">
        <v>4</v>
      </c>
      <c r="F502" t="s">
        <v>20</v>
      </c>
      <c r="G502">
        <v>127.81</v>
      </c>
      <c r="H502">
        <v>2</v>
      </c>
      <c r="I502">
        <v>35.39</v>
      </c>
    </row>
    <row r="503" spans="1:9" x14ac:dyDescent="0.35">
      <c r="A503" t="s">
        <v>615</v>
      </c>
      <c r="B503" t="s">
        <v>612</v>
      </c>
      <c r="C503" t="s">
        <v>26</v>
      </c>
      <c r="D503" t="s">
        <v>23</v>
      </c>
      <c r="E503" t="s">
        <v>3</v>
      </c>
      <c r="F503" t="s">
        <v>18</v>
      </c>
      <c r="G503">
        <v>71.56</v>
      </c>
      <c r="H503">
        <v>1</v>
      </c>
      <c r="I503">
        <v>-0.06</v>
      </c>
    </row>
    <row r="504" spans="1:9" x14ac:dyDescent="0.35">
      <c r="A504" t="s">
        <v>616</v>
      </c>
      <c r="B504" t="s">
        <v>612</v>
      </c>
      <c r="C504" t="s">
        <v>16</v>
      </c>
      <c r="D504" t="s">
        <v>17</v>
      </c>
      <c r="E504" t="s">
        <v>3</v>
      </c>
      <c r="F504" t="s">
        <v>27</v>
      </c>
      <c r="G504">
        <v>115.06</v>
      </c>
      <c r="H504">
        <v>1</v>
      </c>
      <c r="I504">
        <v>-19.829999999999998</v>
      </c>
    </row>
    <row r="505" spans="1:9" x14ac:dyDescent="0.35">
      <c r="A505" t="s">
        <v>617</v>
      </c>
      <c r="B505" t="s">
        <v>612</v>
      </c>
      <c r="C505" t="s">
        <v>26</v>
      </c>
      <c r="D505" t="s">
        <v>17</v>
      </c>
      <c r="E505" t="s">
        <v>4</v>
      </c>
      <c r="F505" t="s">
        <v>20</v>
      </c>
      <c r="G505">
        <v>312.64</v>
      </c>
      <c r="H505">
        <v>9</v>
      </c>
      <c r="I505">
        <v>91.44</v>
      </c>
    </row>
    <row r="506" spans="1:9" x14ac:dyDescent="0.35">
      <c r="A506" t="s">
        <v>618</v>
      </c>
      <c r="B506" t="s">
        <v>619</v>
      </c>
      <c r="C506" t="s">
        <v>16</v>
      </c>
      <c r="D506" t="s">
        <v>17</v>
      </c>
      <c r="E506" t="s">
        <v>4</v>
      </c>
      <c r="F506" t="s">
        <v>20</v>
      </c>
      <c r="G506">
        <v>74.56</v>
      </c>
      <c r="H506">
        <v>4</v>
      </c>
      <c r="I506">
        <v>22.75</v>
      </c>
    </row>
    <row r="507" spans="1:9" x14ac:dyDescent="0.35">
      <c r="A507" t="s">
        <v>620</v>
      </c>
      <c r="B507" t="s">
        <v>619</v>
      </c>
      <c r="C507" t="s">
        <v>22</v>
      </c>
      <c r="D507" t="s">
        <v>23</v>
      </c>
      <c r="E507" t="s">
        <v>5</v>
      </c>
      <c r="F507" t="s">
        <v>29</v>
      </c>
      <c r="G507">
        <v>52.1</v>
      </c>
      <c r="H507">
        <v>5</v>
      </c>
      <c r="I507">
        <v>17.62</v>
      </c>
    </row>
    <row r="508" spans="1:9" x14ac:dyDescent="0.35">
      <c r="A508" t="s">
        <v>621</v>
      </c>
      <c r="B508" t="s">
        <v>619</v>
      </c>
      <c r="C508" t="s">
        <v>34</v>
      </c>
      <c r="D508" t="s">
        <v>38</v>
      </c>
      <c r="E508" t="s">
        <v>4</v>
      </c>
      <c r="F508" t="s">
        <v>24</v>
      </c>
      <c r="G508">
        <v>40.729999999999997</v>
      </c>
      <c r="H508">
        <v>3</v>
      </c>
      <c r="I508">
        <v>3.01</v>
      </c>
    </row>
    <row r="509" spans="1:9" x14ac:dyDescent="0.35">
      <c r="A509" t="s">
        <v>622</v>
      </c>
      <c r="B509" t="s">
        <v>619</v>
      </c>
      <c r="C509" t="s">
        <v>26</v>
      </c>
      <c r="D509" t="s">
        <v>17</v>
      </c>
      <c r="E509" t="s">
        <v>4</v>
      </c>
      <c r="F509" t="s">
        <v>39</v>
      </c>
      <c r="G509">
        <v>73.040000000000006</v>
      </c>
      <c r="H509">
        <v>4</v>
      </c>
      <c r="I509">
        <v>8.7200000000000006</v>
      </c>
    </row>
    <row r="510" spans="1:9" x14ac:dyDescent="0.35">
      <c r="A510" t="s">
        <v>623</v>
      </c>
      <c r="B510" t="s">
        <v>619</v>
      </c>
      <c r="C510" t="s">
        <v>34</v>
      </c>
      <c r="D510" t="s">
        <v>23</v>
      </c>
      <c r="E510" t="s">
        <v>4</v>
      </c>
      <c r="F510" t="s">
        <v>20</v>
      </c>
      <c r="G510">
        <v>247.15</v>
      </c>
      <c r="H510">
        <v>8</v>
      </c>
      <c r="I510">
        <v>40.67</v>
      </c>
    </row>
    <row r="511" spans="1:9" x14ac:dyDescent="0.35">
      <c r="A511" t="s">
        <v>624</v>
      </c>
      <c r="B511" t="s">
        <v>619</v>
      </c>
      <c r="C511" t="s">
        <v>26</v>
      </c>
      <c r="D511" t="s">
        <v>23</v>
      </c>
      <c r="E511" t="s">
        <v>4</v>
      </c>
      <c r="F511" t="s">
        <v>24</v>
      </c>
      <c r="G511">
        <v>115.69</v>
      </c>
      <c r="H511">
        <v>4</v>
      </c>
      <c r="I511">
        <v>9.2100000000000009</v>
      </c>
    </row>
    <row r="512" spans="1:9" x14ac:dyDescent="0.35">
      <c r="A512" t="s">
        <v>625</v>
      </c>
      <c r="B512" t="s">
        <v>626</v>
      </c>
      <c r="C512" t="s">
        <v>34</v>
      </c>
      <c r="D512" t="s">
        <v>38</v>
      </c>
      <c r="E512" t="s">
        <v>4</v>
      </c>
      <c r="F512" t="s">
        <v>24</v>
      </c>
      <c r="G512">
        <v>58.71</v>
      </c>
      <c r="H512">
        <v>9</v>
      </c>
      <c r="I512">
        <v>18.739999999999998</v>
      </c>
    </row>
    <row r="513" spans="1:9" x14ac:dyDescent="0.35">
      <c r="A513" t="s">
        <v>627</v>
      </c>
      <c r="B513" t="s">
        <v>626</v>
      </c>
      <c r="C513" t="s">
        <v>26</v>
      </c>
      <c r="D513" t="s">
        <v>38</v>
      </c>
      <c r="E513" t="s">
        <v>3</v>
      </c>
      <c r="F513" t="s">
        <v>49</v>
      </c>
      <c r="G513">
        <v>47.26</v>
      </c>
      <c r="H513">
        <v>9</v>
      </c>
      <c r="I513">
        <v>-1.68</v>
      </c>
    </row>
    <row r="514" spans="1:9" x14ac:dyDescent="0.35">
      <c r="A514" t="s">
        <v>628</v>
      </c>
      <c r="B514" t="s">
        <v>626</v>
      </c>
      <c r="C514" t="s">
        <v>26</v>
      </c>
      <c r="D514" t="s">
        <v>23</v>
      </c>
      <c r="E514" t="s">
        <v>4</v>
      </c>
      <c r="F514" t="s">
        <v>20</v>
      </c>
      <c r="G514">
        <v>80.680000000000007</v>
      </c>
      <c r="H514">
        <v>6</v>
      </c>
      <c r="I514">
        <v>-9.7100000000000009</v>
      </c>
    </row>
    <row r="515" spans="1:9" x14ac:dyDescent="0.35">
      <c r="A515" t="s">
        <v>629</v>
      </c>
      <c r="B515" t="s">
        <v>626</v>
      </c>
      <c r="C515" t="s">
        <v>26</v>
      </c>
      <c r="D515" t="s">
        <v>23</v>
      </c>
      <c r="E515" t="s">
        <v>4</v>
      </c>
      <c r="F515" t="s">
        <v>20</v>
      </c>
      <c r="G515">
        <v>441.82</v>
      </c>
      <c r="H515">
        <v>2</v>
      </c>
      <c r="I515">
        <v>81.27</v>
      </c>
    </row>
    <row r="516" spans="1:9" x14ac:dyDescent="0.35">
      <c r="A516" t="s">
        <v>630</v>
      </c>
      <c r="B516" t="s">
        <v>626</v>
      </c>
      <c r="C516" t="s">
        <v>26</v>
      </c>
      <c r="D516" t="s">
        <v>38</v>
      </c>
      <c r="E516" t="s">
        <v>5</v>
      </c>
      <c r="F516" t="s">
        <v>41</v>
      </c>
      <c r="G516">
        <v>83.02</v>
      </c>
      <c r="H516">
        <v>7</v>
      </c>
      <c r="I516">
        <v>17.86</v>
      </c>
    </row>
    <row r="517" spans="1:9" x14ac:dyDescent="0.35">
      <c r="A517" t="s">
        <v>631</v>
      </c>
      <c r="B517" t="s">
        <v>626</v>
      </c>
      <c r="C517" t="s">
        <v>26</v>
      </c>
      <c r="D517" t="s">
        <v>17</v>
      </c>
      <c r="E517" t="s">
        <v>5</v>
      </c>
      <c r="F517" t="s">
        <v>41</v>
      </c>
      <c r="G517">
        <v>684.99</v>
      </c>
      <c r="H517">
        <v>9</v>
      </c>
      <c r="I517">
        <v>166.12</v>
      </c>
    </row>
    <row r="518" spans="1:9" x14ac:dyDescent="0.35">
      <c r="A518" t="s">
        <v>632</v>
      </c>
      <c r="B518" t="s">
        <v>633</v>
      </c>
      <c r="C518" t="s">
        <v>26</v>
      </c>
      <c r="D518" t="s">
        <v>17</v>
      </c>
      <c r="E518" t="s">
        <v>3</v>
      </c>
      <c r="F518" t="s">
        <v>27</v>
      </c>
      <c r="G518">
        <v>119.61</v>
      </c>
      <c r="H518">
        <v>6</v>
      </c>
      <c r="I518">
        <v>-10.39</v>
      </c>
    </row>
    <row r="519" spans="1:9" x14ac:dyDescent="0.35">
      <c r="A519" t="s">
        <v>634</v>
      </c>
      <c r="B519" t="s">
        <v>633</v>
      </c>
      <c r="C519" t="s">
        <v>26</v>
      </c>
      <c r="D519" t="s">
        <v>17</v>
      </c>
      <c r="E519" t="s">
        <v>4</v>
      </c>
      <c r="F519" t="s">
        <v>24</v>
      </c>
      <c r="G519">
        <v>49.61</v>
      </c>
      <c r="H519">
        <v>3</v>
      </c>
      <c r="I519">
        <v>11.45</v>
      </c>
    </row>
    <row r="520" spans="1:9" x14ac:dyDescent="0.35">
      <c r="A520" t="s">
        <v>635</v>
      </c>
      <c r="B520" t="s">
        <v>633</v>
      </c>
      <c r="C520" t="s">
        <v>26</v>
      </c>
      <c r="D520" t="s">
        <v>38</v>
      </c>
      <c r="E520" t="s">
        <v>4</v>
      </c>
      <c r="F520" t="s">
        <v>39</v>
      </c>
      <c r="G520">
        <v>352.65</v>
      </c>
      <c r="H520">
        <v>7</v>
      </c>
      <c r="I520">
        <v>92.38</v>
      </c>
    </row>
    <row r="521" spans="1:9" x14ac:dyDescent="0.35">
      <c r="A521" t="s">
        <v>636</v>
      </c>
      <c r="B521" t="s">
        <v>633</v>
      </c>
      <c r="C521" t="s">
        <v>26</v>
      </c>
      <c r="D521" t="s">
        <v>38</v>
      </c>
      <c r="E521" t="s">
        <v>5</v>
      </c>
      <c r="F521" t="s">
        <v>29</v>
      </c>
      <c r="G521">
        <v>112.53</v>
      </c>
      <c r="H521">
        <v>5</v>
      </c>
      <c r="I521">
        <v>31.32</v>
      </c>
    </row>
    <row r="522" spans="1:9" x14ac:dyDescent="0.35">
      <c r="A522" t="s">
        <v>637</v>
      </c>
      <c r="B522" t="s">
        <v>633</v>
      </c>
      <c r="C522" t="s">
        <v>34</v>
      </c>
      <c r="D522" t="s">
        <v>17</v>
      </c>
      <c r="E522" t="s">
        <v>3</v>
      </c>
      <c r="F522" t="s">
        <v>27</v>
      </c>
      <c r="G522">
        <v>205.51</v>
      </c>
      <c r="H522">
        <v>1</v>
      </c>
      <c r="I522">
        <v>-17.25</v>
      </c>
    </row>
    <row r="523" spans="1:9" x14ac:dyDescent="0.35">
      <c r="A523" t="s">
        <v>638</v>
      </c>
      <c r="B523" t="s">
        <v>633</v>
      </c>
      <c r="C523" t="s">
        <v>16</v>
      </c>
      <c r="D523" t="s">
        <v>23</v>
      </c>
      <c r="E523" t="s">
        <v>3</v>
      </c>
      <c r="F523" t="s">
        <v>27</v>
      </c>
      <c r="G523">
        <v>637.6</v>
      </c>
      <c r="H523">
        <v>3</v>
      </c>
      <c r="I523">
        <v>-34.520000000000003</v>
      </c>
    </row>
    <row r="524" spans="1:9" x14ac:dyDescent="0.35">
      <c r="A524" t="s">
        <v>639</v>
      </c>
      <c r="B524" t="s">
        <v>640</v>
      </c>
      <c r="C524" t="s">
        <v>26</v>
      </c>
      <c r="D524" t="s">
        <v>17</v>
      </c>
      <c r="E524" t="s">
        <v>4</v>
      </c>
      <c r="F524" t="s">
        <v>20</v>
      </c>
      <c r="G524">
        <v>27.72</v>
      </c>
      <c r="H524">
        <v>5</v>
      </c>
      <c r="I524">
        <v>4.21</v>
      </c>
    </row>
    <row r="525" spans="1:9" x14ac:dyDescent="0.35">
      <c r="A525" t="s">
        <v>641</v>
      </c>
      <c r="B525" t="s">
        <v>640</v>
      </c>
      <c r="C525" t="s">
        <v>16</v>
      </c>
      <c r="D525" t="s">
        <v>17</v>
      </c>
      <c r="E525" t="s">
        <v>4</v>
      </c>
      <c r="F525" t="s">
        <v>24</v>
      </c>
      <c r="G525">
        <v>35.25</v>
      </c>
      <c r="H525">
        <v>7</v>
      </c>
      <c r="I525">
        <v>2.46</v>
      </c>
    </row>
    <row r="526" spans="1:9" x14ac:dyDescent="0.35">
      <c r="A526" t="s">
        <v>642</v>
      </c>
      <c r="B526" t="s">
        <v>640</v>
      </c>
      <c r="C526" t="s">
        <v>26</v>
      </c>
      <c r="D526" t="s">
        <v>38</v>
      </c>
      <c r="E526" t="s">
        <v>4</v>
      </c>
      <c r="F526" t="s">
        <v>20</v>
      </c>
      <c r="G526">
        <v>211.19</v>
      </c>
      <c r="H526">
        <v>3</v>
      </c>
      <c r="I526">
        <v>43.9</v>
      </c>
    </row>
    <row r="527" spans="1:9" x14ac:dyDescent="0.35">
      <c r="A527" t="s">
        <v>643</v>
      </c>
      <c r="B527" t="s">
        <v>640</v>
      </c>
      <c r="C527" t="s">
        <v>26</v>
      </c>
      <c r="D527" t="s">
        <v>17</v>
      </c>
      <c r="E527" t="s">
        <v>3</v>
      </c>
      <c r="F527" t="s">
        <v>18</v>
      </c>
      <c r="G527">
        <v>69.66</v>
      </c>
      <c r="H527">
        <v>6</v>
      </c>
      <c r="I527">
        <v>-0.28000000000000003</v>
      </c>
    </row>
    <row r="528" spans="1:9" x14ac:dyDescent="0.35">
      <c r="A528" t="s">
        <v>644</v>
      </c>
      <c r="B528" t="s">
        <v>640</v>
      </c>
      <c r="C528" t="s">
        <v>34</v>
      </c>
      <c r="D528" t="s">
        <v>17</v>
      </c>
      <c r="E528" t="s">
        <v>3</v>
      </c>
      <c r="F528" t="s">
        <v>18</v>
      </c>
      <c r="G528">
        <v>50.56</v>
      </c>
      <c r="H528">
        <v>5</v>
      </c>
      <c r="I528">
        <v>5.26</v>
      </c>
    </row>
    <row r="529" spans="1:9" x14ac:dyDescent="0.35">
      <c r="A529" t="s">
        <v>645</v>
      </c>
      <c r="B529" t="s">
        <v>640</v>
      </c>
      <c r="C529" t="s">
        <v>22</v>
      </c>
      <c r="D529" t="s">
        <v>23</v>
      </c>
      <c r="E529" t="s">
        <v>5</v>
      </c>
      <c r="F529" t="s">
        <v>41</v>
      </c>
      <c r="G529">
        <v>26.02</v>
      </c>
      <c r="H529">
        <v>1</v>
      </c>
      <c r="I529">
        <v>9.77</v>
      </c>
    </row>
    <row r="530" spans="1:9" x14ac:dyDescent="0.35">
      <c r="A530" t="s">
        <v>646</v>
      </c>
      <c r="B530" t="s">
        <v>647</v>
      </c>
      <c r="C530" t="s">
        <v>22</v>
      </c>
      <c r="D530" t="s">
        <v>23</v>
      </c>
      <c r="E530" t="s">
        <v>5</v>
      </c>
      <c r="F530" t="s">
        <v>41</v>
      </c>
      <c r="G530">
        <v>23.31</v>
      </c>
      <c r="H530">
        <v>6</v>
      </c>
      <c r="I530">
        <v>4.2300000000000004</v>
      </c>
    </row>
    <row r="531" spans="1:9" x14ac:dyDescent="0.35">
      <c r="A531" t="s">
        <v>648</v>
      </c>
      <c r="B531" t="s">
        <v>647</v>
      </c>
      <c r="C531" t="s">
        <v>34</v>
      </c>
      <c r="D531" t="s">
        <v>17</v>
      </c>
      <c r="E531" t="s">
        <v>4</v>
      </c>
      <c r="F531" t="s">
        <v>39</v>
      </c>
      <c r="G531">
        <v>243.41</v>
      </c>
      <c r="H531">
        <v>8</v>
      </c>
      <c r="I531">
        <v>56.48</v>
      </c>
    </row>
    <row r="532" spans="1:9" x14ac:dyDescent="0.35">
      <c r="A532" t="s">
        <v>649</v>
      </c>
      <c r="B532" t="s">
        <v>647</v>
      </c>
      <c r="C532" t="s">
        <v>16</v>
      </c>
      <c r="D532" t="s">
        <v>23</v>
      </c>
      <c r="E532" t="s">
        <v>4</v>
      </c>
      <c r="F532" t="s">
        <v>20</v>
      </c>
      <c r="G532">
        <v>41.66</v>
      </c>
      <c r="H532">
        <v>1</v>
      </c>
      <c r="I532">
        <v>2.29</v>
      </c>
    </row>
    <row r="533" spans="1:9" x14ac:dyDescent="0.35">
      <c r="A533" t="s">
        <v>650</v>
      </c>
      <c r="B533" t="s">
        <v>647</v>
      </c>
      <c r="C533" t="s">
        <v>22</v>
      </c>
      <c r="D533" t="s">
        <v>23</v>
      </c>
      <c r="E533" t="s">
        <v>4</v>
      </c>
      <c r="F533" t="s">
        <v>20</v>
      </c>
      <c r="G533">
        <v>114.59</v>
      </c>
      <c r="H533">
        <v>2</v>
      </c>
      <c r="I533">
        <v>25.16</v>
      </c>
    </row>
    <row r="534" spans="1:9" x14ac:dyDescent="0.35">
      <c r="A534" t="s">
        <v>651</v>
      </c>
      <c r="B534" t="s">
        <v>647</v>
      </c>
      <c r="C534" t="s">
        <v>34</v>
      </c>
      <c r="D534" t="s">
        <v>17</v>
      </c>
      <c r="E534" t="s">
        <v>4</v>
      </c>
      <c r="F534" t="s">
        <v>39</v>
      </c>
      <c r="G534">
        <v>159.66999999999999</v>
      </c>
      <c r="H534">
        <v>4</v>
      </c>
      <c r="I534">
        <v>15.7</v>
      </c>
    </row>
    <row r="535" spans="1:9" x14ac:dyDescent="0.35">
      <c r="A535" t="s">
        <v>652</v>
      </c>
      <c r="B535" t="s">
        <v>647</v>
      </c>
      <c r="C535" t="s">
        <v>34</v>
      </c>
      <c r="D535" t="s">
        <v>17</v>
      </c>
      <c r="E535" t="s">
        <v>3</v>
      </c>
      <c r="F535" t="s">
        <v>27</v>
      </c>
      <c r="G535">
        <v>103.88</v>
      </c>
      <c r="H535">
        <v>2</v>
      </c>
      <c r="I535">
        <v>-15.82</v>
      </c>
    </row>
    <row r="536" spans="1:9" x14ac:dyDescent="0.35">
      <c r="A536" t="s">
        <v>653</v>
      </c>
      <c r="B536" t="s">
        <v>654</v>
      </c>
      <c r="C536" t="s">
        <v>22</v>
      </c>
      <c r="D536" t="s">
        <v>23</v>
      </c>
      <c r="E536" t="s">
        <v>4</v>
      </c>
      <c r="F536" t="s">
        <v>20</v>
      </c>
      <c r="G536">
        <v>24.12</v>
      </c>
      <c r="H536">
        <v>9</v>
      </c>
      <c r="I536">
        <v>4.29</v>
      </c>
    </row>
    <row r="537" spans="1:9" x14ac:dyDescent="0.35">
      <c r="A537" t="s">
        <v>655</v>
      </c>
      <c r="B537" t="s">
        <v>654</v>
      </c>
      <c r="C537" t="s">
        <v>16</v>
      </c>
      <c r="D537" t="s">
        <v>17</v>
      </c>
      <c r="E537" t="s">
        <v>4</v>
      </c>
      <c r="F537" t="s">
        <v>24</v>
      </c>
      <c r="G537">
        <v>249.53</v>
      </c>
      <c r="H537">
        <v>8</v>
      </c>
      <c r="I537">
        <v>-29.31</v>
      </c>
    </row>
    <row r="538" spans="1:9" x14ac:dyDescent="0.35">
      <c r="A538" t="s">
        <v>656</v>
      </c>
      <c r="B538" t="s">
        <v>654</v>
      </c>
      <c r="C538" t="s">
        <v>34</v>
      </c>
      <c r="D538" t="s">
        <v>38</v>
      </c>
      <c r="E538" t="s">
        <v>4</v>
      </c>
      <c r="F538" t="s">
        <v>24</v>
      </c>
      <c r="G538">
        <v>21.59</v>
      </c>
      <c r="H538">
        <v>8</v>
      </c>
      <c r="I538">
        <v>-0.54</v>
      </c>
    </row>
    <row r="539" spans="1:9" x14ac:dyDescent="0.35">
      <c r="A539" t="s">
        <v>657</v>
      </c>
      <c r="B539" t="s">
        <v>654</v>
      </c>
      <c r="C539" t="s">
        <v>26</v>
      </c>
      <c r="D539" t="s">
        <v>38</v>
      </c>
      <c r="E539" t="s">
        <v>5</v>
      </c>
      <c r="F539" t="s">
        <v>29</v>
      </c>
      <c r="G539">
        <v>235.25</v>
      </c>
      <c r="H539">
        <v>4</v>
      </c>
      <c r="I539">
        <v>54.64</v>
      </c>
    </row>
    <row r="540" spans="1:9" x14ac:dyDescent="0.35">
      <c r="A540" t="s">
        <v>658</v>
      </c>
      <c r="B540" t="s">
        <v>654</v>
      </c>
      <c r="C540" t="s">
        <v>16</v>
      </c>
      <c r="D540" t="s">
        <v>38</v>
      </c>
      <c r="E540" t="s">
        <v>3</v>
      </c>
      <c r="F540" t="s">
        <v>18</v>
      </c>
      <c r="G540">
        <v>355.67</v>
      </c>
      <c r="H540">
        <v>5</v>
      </c>
      <c r="I540">
        <v>-14.85</v>
      </c>
    </row>
    <row r="541" spans="1:9" x14ac:dyDescent="0.35">
      <c r="A541" t="s">
        <v>659</v>
      </c>
      <c r="B541" t="s">
        <v>654</v>
      </c>
      <c r="C541" t="s">
        <v>16</v>
      </c>
      <c r="D541" t="s">
        <v>17</v>
      </c>
      <c r="E541" t="s">
        <v>5</v>
      </c>
      <c r="F541" t="s">
        <v>31</v>
      </c>
      <c r="G541">
        <v>105.07</v>
      </c>
      <c r="H541">
        <v>4</v>
      </c>
      <c r="I541">
        <v>22.39</v>
      </c>
    </row>
    <row r="542" spans="1:9" x14ac:dyDescent="0.35">
      <c r="A542" t="s">
        <v>660</v>
      </c>
      <c r="B542" t="s">
        <v>661</v>
      </c>
      <c r="C542" t="s">
        <v>22</v>
      </c>
      <c r="D542" t="s">
        <v>38</v>
      </c>
      <c r="E542" t="s">
        <v>4</v>
      </c>
      <c r="F542" t="s">
        <v>24</v>
      </c>
      <c r="G542">
        <v>135.03</v>
      </c>
      <c r="H542">
        <v>9</v>
      </c>
      <c r="I542">
        <v>-1.07</v>
      </c>
    </row>
    <row r="543" spans="1:9" x14ac:dyDescent="0.35">
      <c r="A543" t="s">
        <v>662</v>
      </c>
      <c r="B543" t="s">
        <v>661</v>
      </c>
      <c r="C543" t="s">
        <v>22</v>
      </c>
      <c r="D543" t="s">
        <v>17</v>
      </c>
      <c r="E543" t="s">
        <v>4</v>
      </c>
      <c r="F543" t="s">
        <v>39</v>
      </c>
      <c r="G543">
        <v>117.22</v>
      </c>
      <c r="H543">
        <v>2</v>
      </c>
      <c r="I543">
        <v>8</v>
      </c>
    </row>
    <row r="544" spans="1:9" x14ac:dyDescent="0.35">
      <c r="A544" t="s">
        <v>663</v>
      </c>
      <c r="B544" t="s">
        <v>661</v>
      </c>
      <c r="C544" t="s">
        <v>26</v>
      </c>
      <c r="D544" t="s">
        <v>17</v>
      </c>
      <c r="E544" t="s">
        <v>5</v>
      </c>
      <c r="F544" t="s">
        <v>41</v>
      </c>
      <c r="G544">
        <v>93.95</v>
      </c>
      <c r="H544">
        <v>8</v>
      </c>
      <c r="I544">
        <v>27.16</v>
      </c>
    </row>
    <row r="545" spans="1:9" x14ac:dyDescent="0.35">
      <c r="A545" t="s">
        <v>664</v>
      </c>
      <c r="B545" t="s">
        <v>661</v>
      </c>
      <c r="C545" t="s">
        <v>34</v>
      </c>
      <c r="D545" t="s">
        <v>17</v>
      </c>
      <c r="E545" t="s">
        <v>4</v>
      </c>
      <c r="F545" t="s">
        <v>20</v>
      </c>
      <c r="G545">
        <v>347.62</v>
      </c>
      <c r="H545">
        <v>2</v>
      </c>
      <c r="I545">
        <v>72.37</v>
      </c>
    </row>
    <row r="546" spans="1:9" x14ac:dyDescent="0.35">
      <c r="A546" t="s">
        <v>665</v>
      </c>
      <c r="B546" t="s">
        <v>661</v>
      </c>
      <c r="C546" t="s">
        <v>22</v>
      </c>
      <c r="D546" t="s">
        <v>17</v>
      </c>
      <c r="E546" t="s">
        <v>4</v>
      </c>
      <c r="F546" t="s">
        <v>39</v>
      </c>
      <c r="G546">
        <v>356.55</v>
      </c>
      <c r="H546">
        <v>1</v>
      </c>
      <c r="I546">
        <v>52.9</v>
      </c>
    </row>
    <row r="547" spans="1:9" x14ac:dyDescent="0.35">
      <c r="A547" t="s">
        <v>666</v>
      </c>
      <c r="B547" t="s">
        <v>661</v>
      </c>
      <c r="C547" t="s">
        <v>22</v>
      </c>
      <c r="D547" t="s">
        <v>23</v>
      </c>
      <c r="E547" t="s">
        <v>3</v>
      </c>
      <c r="F547" t="s">
        <v>49</v>
      </c>
      <c r="G547">
        <v>81.38</v>
      </c>
      <c r="H547">
        <v>3</v>
      </c>
      <c r="I547">
        <v>5.35</v>
      </c>
    </row>
    <row r="548" spans="1:9" x14ac:dyDescent="0.35">
      <c r="A548" t="s">
        <v>667</v>
      </c>
      <c r="B548" t="s">
        <v>668</v>
      </c>
      <c r="C548" t="s">
        <v>16</v>
      </c>
      <c r="D548" t="s">
        <v>17</v>
      </c>
      <c r="E548" t="s">
        <v>5</v>
      </c>
      <c r="F548" t="s">
        <v>41</v>
      </c>
      <c r="G548">
        <v>163.19999999999999</v>
      </c>
      <c r="H548">
        <v>9</v>
      </c>
      <c r="I548">
        <v>47.29</v>
      </c>
    </row>
    <row r="549" spans="1:9" x14ac:dyDescent="0.35">
      <c r="A549" t="s">
        <v>669</v>
      </c>
      <c r="B549" t="s">
        <v>668</v>
      </c>
      <c r="C549" t="s">
        <v>22</v>
      </c>
      <c r="D549" t="s">
        <v>17</v>
      </c>
      <c r="E549" t="s">
        <v>4</v>
      </c>
      <c r="F549" t="s">
        <v>39</v>
      </c>
      <c r="G549">
        <v>412.4</v>
      </c>
      <c r="H549">
        <v>3</v>
      </c>
      <c r="I549">
        <v>31.03</v>
      </c>
    </row>
    <row r="550" spans="1:9" x14ac:dyDescent="0.35">
      <c r="A550" t="s">
        <v>670</v>
      </c>
      <c r="B550" t="s">
        <v>668</v>
      </c>
      <c r="C550" t="s">
        <v>22</v>
      </c>
      <c r="D550" t="s">
        <v>23</v>
      </c>
      <c r="E550" t="s">
        <v>3</v>
      </c>
      <c r="F550" t="s">
        <v>27</v>
      </c>
      <c r="G550">
        <v>510.76</v>
      </c>
      <c r="H550">
        <v>9</v>
      </c>
      <c r="I550">
        <v>-39.86</v>
      </c>
    </row>
    <row r="551" spans="1:9" x14ac:dyDescent="0.35">
      <c r="A551" t="s">
        <v>671</v>
      </c>
      <c r="B551" t="s">
        <v>668</v>
      </c>
      <c r="C551" t="s">
        <v>22</v>
      </c>
      <c r="D551" t="s">
        <v>17</v>
      </c>
      <c r="E551" t="s">
        <v>4</v>
      </c>
      <c r="F551" t="s">
        <v>20</v>
      </c>
      <c r="G551">
        <v>126.68</v>
      </c>
      <c r="H551">
        <v>7</v>
      </c>
      <c r="I551">
        <v>1.23</v>
      </c>
    </row>
    <row r="552" spans="1:9" x14ac:dyDescent="0.35">
      <c r="A552" t="s">
        <v>672</v>
      </c>
      <c r="B552" t="s">
        <v>668</v>
      </c>
      <c r="C552" t="s">
        <v>22</v>
      </c>
      <c r="D552" t="s">
        <v>23</v>
      </c>
      <c r="E552" t="s">
        <v>3</v>
      </c>
      <c r="F552" t="s">
        <v>49</v>
      </c>
      <c r="G552">
        <v>110.45</v>
      </c>
      <c r="H552">
        <v>1</v>
      </c>
      <c r="I552">
        <v>-6.72</v>
      </c>
    </row>
    <row r="553" spans="1:9" x14ac:dyDescent="0.35">
      <c r="A553" t="s">
        <v>673</v>
      </c>
      <c r="B553" t="s">
        <v>668</v>
      </c>
      <c r="C553" t="s">
        <v>16</v>
      </c>
      <c r="D553" t="s">
        <v>17</v>
      </c>
      <c r="E553" t="s">
        <v>4</v>
      </c>
      <c r="F553" t="s">
        <v>24</v>
      </c>
      <c r="G553">
        <v>69</v>
      </c>
      <c r="H553">
        <v>5</v>
      </c>
      <c r="I553">
        <v>18.02</v>
      </c>
    </row>
    <row r="554" spans="1:9" x14ac:dyDescent="0.35">
      <c r="A554" t="s">
        <v>674</v>
      </c>
      <c r="B554" t="s">
        <v>675</v>
      </c>
      <c r="C554" t="s">
        <v>26</v>
      </c>
      <c r="D554" t="s">
        <v>38</v>
      </c>
      <c r="E554" t="s">
        <v>3</v>
      </c>
      <c r="F554" t="s">
        <v>27</v>
      </c>
      <c r="G554">
        <v>498.66</v>
      </c>
      <c r="H554">
        <v>9</v>
      </c>
      <c r="I554">
        <v>9.24</v>
      </c>
    </row>
    <row r="555" spans="1:9" x14ac:dyDescent="0.35">
      <c r="A555" t="s">
        <v>676</v>
      </c>
      <c r="B555" t="s">
        <v>675</v>
      </c>
      <c r="C555" t="s">
        <v>26</v>
      </c>
      <c r="D555" t="s">
        <v>38</v>
      </c>
      <c r="E555" t="s">
        <v>3</v>
      </c>
      <c r="F555" t="s">
        <v>27</v>
      </c>
      <c r="G555">
        <v>43.12</v>
      </c>
      <c r="H555">
        <v>3</v>
      </c>
      <c r="I555">
        <v>3.89</v>
      </c>
    </row>
    <row r="556" spans="1:9" x14ac:dyDescent="0.35">
      <c r="A556" t="s">
        <v>677</v>
      </c>
      <c r="B556" t="s">
        <v>675</v>
      </c>
      <c r="C556" t="s">
        <v>34</v>
      </c>
      <c r="D556" t="s">
        <v>17</v>
      </c>
      <c r="E556" t="s">
        <v>4</v>
      </c>
      <c r="F556" t="s">
        <v>39</v>
      </c>
      <c r="G556">
        <v>150.06</v>
      </c>
      <c r="H556">
        <v>9</v>
      </c>
      <c r="I556">
        <v>17.96</v>
      </c>
    </row>
    <row r="557" spans="1:9" x14ac:dyDescent="0.35">
      <c r="A557" t="s">
        <v>678</v>
      </c>
      <c r="B557" t="s">
        <v>675</v>
      </c>
      <c r="C557" t="s">
        <v>22</v>
      </c>
      <c r="D557" t="s">
        <v>17</v>
      </c>
      <c r="E557" t="s">
        <v>3</v>
      </c>
      <c r="F557" t="s">
        <v>49</v>
      </c>
      <c r="G557">
        <v>69.81</v>
      </c>
      <c r="H557">
        <v>5</v>
      </c>
      <c r="I557">
        <v>5.91</v>
      </c>
    </row>
    <row r="558" spans="1:9" x14ac:dyDescent="0.35">
      <c r="A558" t="s">
        <v>679</v>
      </c>
      <c r="B558" t="s">
        <v>675</v>
      </c>
      <c r="C558" t="s">
        <v>16</v>
      </c>
      <c r="D558" t="s">
        <v>17</v>
      </c>
      <c r="E558" t="s">
        <v>5</v>
      </c>
      <c r="F558" t="s">
        <v>29</v>
      </c>
      <c r="G558">
        <v>69.069999999999993</v>
      </c>
      <c r="H558">
        <v>9</v>
      </c>
      <c r="I558">
        <v>15.93</v>
      </c>
    </row>
    <row r="559" spans="1:9" x14ac:dyDescent="0.35">
      <c r="A559" t="s">
        <v>680</v>
      </c>
      <c r="B559" t="s">
        <v>675</v>
      </c>
      <c r="C559" t="s">
        <v>34</v>
      </c>
      <c r="D559" t="s">
        <v>38</v>
      </c>
      <c r="E559" t="s">
        <v>5</v>
      </c>
      <c r="F559" t="s">
        <v>41</v>
      </c>
      <c r="G559">
        <v>97.87</v>
      </c>
      <c r="H559">
        <v>6</v>
      </c>
      <c r="I559">
        <v>38.869999999999997</v>
      </c>
    </row>
    <row r="560" spans="1:9" x14ac:dyDescent="0.35">
      <c r="A560" t="s">
        <v>681</v>
      </c>
      <c r="B560" t="s">
        <v>682</v>
      </c>
      <c r="C560" t="s">
        <v>34</v>
      </c>
      <c r="D560" t="s">
        <v>17</v>
      </c>
      <c r="E560" t="s">
        <v>4</v>
      </c>
      <c r="F560" t="s">
        <v>39</v>
      </c>
      <c r="G560">
        <v>1027.93</v>
      </c>
      <c r="H560">
        <v>9</v>
      </c>
      <c r="I560">
        <v>151.94</v>
      </c>
    </row>
    <row r="561" spans="1:9" x14ac:dyDescent="0.35">
      <c r="A561" t="s">
        <v>683</v>
      </c>
      <c r="B561" t="s">
        <v>682</v>
      </c>
      <c r="C561" t="s">
        <v>26</v>
      </c>
      <c r="D561" t="s">
        <v>17</v>
      </c>
      <c r="E561" t="s">
        <v>4</v>
      </c>
      <c r="F561" t="s">
        <v>24</v>
      </c>
      <c r="G561">
        <v>28.48</v>
      </c>
      <c r="H561">
        <v>7</v>
      </c>
      <c r="I561">
        <v>6.29</v>
      </c>
    </row>
    <row r="562" spans="1:9" x14ac:dyDescent="0.35">
      <c r="A562" t="s">
        <v>684</v>
      </c>
      <c r="B562" t="s">
        <v>682</v>
      </c>
      <c r="C562" t="s">
        <v>16</v>
      </c>
      <c r="D562" t="s">
        <v>17</v>
      </c>
      <c r="E562" t="s">
        <v>4</v>
      </c>
      <c r="F562" t="s">
        <v>20</v>
      </c>
      <c r="G562">
        <v>149.61000000000001</v>
      </c>
      <c r="H562">
        <v>7</v>
      </c>
      <c r="I562">
        <v>44.51</v>
      </c>
    </row>
    <row r="563" spans="1:9" x14ac:dyDescent="0.35">
      <c r="A563" t="s">
        <v>685</v>
      </c>
      <c r="B563" t="s">
        <v>682</v>
      </c>
      <c r="C563" t="s">
        <v>16</v>
      </c>
      <c r="D563" t="s">
        <v>17</v>
      </c>
      <c r="E563" t="s">
        <v>5</v>
      </c>
      <c r="F563" t="s">
        <v>41</v>
      </c>
      <c r="G563">
        <v>32.93</v>
      </c>
      <c r="H563">
        <v>8</v>
      </c>
      <c r="I563">
        <v>7.6</v>
      </c>
    </row>
    <row r="564" spans="1:9" x14ac:dyDescent="0.35">
      <c r="A564" t="s">
        <v>686</v>
      </c>
      <c r="B564" t="s">
        <v>682</v>
      </c>
      <c r="C564" t="s">
        <v>16</v>
      </c>
      <c r="D564" t="s">
        <v>17</v>
      </c>
      <c r="E564" t="s">
        <v>5</v>
      </c>
      <c r="F564" t="s">
        <v>41</v>
      </c>
      <c r="G564">
        <v>45.18</v>
      </c>
      <c r="H564">
        <v>7</v>
      </c>
      <c r="I564">
        <v>12.28</v>
      </c>
    </row>
    <row r="565" spans="1:9" x14ac:dyDescent="0.35">
      <c r="A565" t="s">
        <v>687</v>
      </c>
      <c r="B565" t="s">
        <v>682</v>
      </c>
      <c r="C565" t="s">
        <v>26</v>
      </c>
      <c r="D565" t="s">
        <v>38</v>
      </c>
      <c r="E565" t="s">
        <v>5</v>
      </c>
      <c r="F565" t="s">
        <v>31</v>
      </c>
      <c r="G565">
        <v>106.86</v>
      </c>
      <c r="H565">
        <v>9</v>
      </c>
      <c r="I565">
        <v>40.49</v>
      </c>
    </row>
    <row r="566" spans="1:9" x14ac:dyDescent="0.35">
      <c r="A566" t="s">
        <v>688</v>
      </c>
      <c r="B566" t="s">
        <v>689</v>
      </c>
      <c r="C566" t="s">
        <v>26</v>
      </c>
      <c r="D566" t="s">
        <v>17</v>
      </c>
      <c r="E566" t="s">
        <v>3</v>
      </c>
      <c r="F566" t="s">
        <v>27</v>
      </c>
      <c r="G566">
        <v>127.14</v>
      </c>
      <c r="H566">
        <v>9</v>
      </c>
      <c r="I566">
        <v>-8.0500000000000007</v>
      </c>
    </row>
    <row r="567" spans="1:9" x14ac:dyDescent="0.35">
      <c r="A567" t="s">
        <v>690</v>
      </c>
      <c r="B567" t="s">
        <v>689</v>
      </c>
      <c r="C567" t="s">
        <v>26</v>
      </c>
      <c r="D567" t="s">
        <v>17</v>
      </c>
      <c r="E567" t="s">
        <v>3</v>
      </c>
      <c r="F567" t="s">
        <v>49</v>
      </c>
      <c r="G567">
        <v>64.92</v>
      </c>
      <c r="H567">
        <v>6</v>
      </c>
      <c r="I567">
        <v>-11.82</v>
      </c>
    </row>
    <row r="568" spans="1:9" x14ac:dyDescent="0.35">
      <c r="A568" t="s">
        <v>691</v>
      </c>
      <c r="B568" t="s">
        <v>689</v>
      </c>
      <c r="C568" t="s">
        <v>26</v>
      </c>
      <c r="D568" t="s">
        <v>38</v>
      </c>
      <c r="E568" t="s">
        <v>3</v>
      </c>
      <c r="F568" t="s">
        <v>18</v>
      </c>
      <c r="G568">
        <v>77.069999999999993</v>
      </c>
      <c r="H568">
        <v>7</v>
      </c>
      <c r="I568">
        <v>12.66</v>
      </c>
    </row>
    <row r="569" spans="1:9" x14ac:dyDescent="0.35">
      <c r="A569" t="s">
        <v>692</v>
      </c>
      <c r="B569" t="s">
        <v>689</v>
      </c>
      <c r="C569" t="s">
        <v>26</v>
      </c>
      <c r="D569" t="s">
        <v>38</v>
      </c>
      <c r="E569" t="s">
        <v>3</v>
      </c>
      <c r="F569" t="s">
        <v>18</v>
      </c>
      <c r="G569">
        <v>33.65</v>
      </c>
      <c r="H569">
        <v>2</v>
      </c>
      <c r="I569">
        <v>-3.26</v>
      </c>
    </row>
    <row r="570" spans="1:9" x14ac:dyDescent="0.35">
      <c r="A570" t="s">
        <v>693</v>
      </c>
      <c r="B570" t="s">
        <v>689</v>
      </c>
      <c r="C570" t="s">
        <v>22</v>
      </c>
      <c r="D570" t="s">
        <v>17</v>
      </c>
      <c r="E570" t="s">
        <v>4</v>
      </c>
      <c r="F570" t="s">
        <v>24</v>
      </c>
      <c r="G570">
        <v>74.19</v>
      </c>
      <c r="H570">
        <v>9</v>
      </c>
      <c r="I570">
        <v>12.31</v>
      </c>
    </row>
    <row r="571" spans="1:9" x14ac:dyDescent="0.35">
      <c r="A571" t="s">
        <v>694</v>
      </c>
      <c r="B571" t="s">
        <v>689</v>
      </c>
      <c r="C571" t="s">
        <v>22</v>
      </c>
      <c r="D571" t="s">
        <v>17</v>
      </c>
      <c r="E571" t="s">
        <v>3</v>
      </c>
      <c r="F571" t="s">
        <v>27</v>
      </c>
      <c r="G571">
        <v>529.69000000000005</v>
      </c>
      <c r="H571">
        <v>1</v>
      </c>
      <c r="I571">
        <v>34.75</v>
      </c>
    </row>
    <row r="572" spans="1:9" x14ac:dyDescent="0.35">
      <c r="A572" t="s">
        <v>695</v>
      </c>
      <c r="B572" t="s">
        <v>696</v>
      </c>
      <c r="C572" t="s">
        <v>16</v>
      </c>
      <c r="D572" t="s">
        <v>17</v>
      </c>
      <c r="E572" t="s">
        <v>3</v>
      </c>
      <c r="F572" t="s">
        <v>49</v>
      </c>
      <c r="G572">
        <v>454.27</v>
      </c>
      <c r="H572">
        <v>1</v>
      </c>
      <c r="I572">
        <v>-50.36</v>
      </c>
    </row>
    <row r="573" spans="1:9" x14ac:dyDescent="0.35">
      <c r="A573" t="s">
        <v>697</v>
      </c>
      <c r="B573" t="s">
        <v>696</v>
      </c>
      <c r="C573" t="s">
        <v>34</v>
      </c>
      <c r="D573" t="s">
        <v>38</v>
      </c>
      <c r="E573" t="s">
        <v>4</v>
      </c>
      <c r="F573" t="s">
        <v>24</v>
      </c>
      <c r="G573">
        <v>81.17</v>
      </c>
      <c r="H573">
        <v>3</v>
      </c>
      <c r="I573">
        <v>3.99</v>
      </c>
    </row>
    <row r="574" spans="1:9" x14ac:dyDescent="0.35">
      <c r="A574" t="s">
        <v>698</v>
      </c>
      <c r="B574" t="s">
        <v>696</v>
      </c>
      <c r="C574" t="s">
        <v>16</v>
      </c>
      <c r="D574" t="s">
        <v>17</v>
      </c>
      <c r="E574" t="s">
        <v>3</v>
      </c>
      <c r="F574" t="s">
        <v>49</v>
      </c>
      <c r="G574">
        <v>146.88999999999999</v>
      </c>
      <c r="H574">
        <v>6</v>
      </c>
      <c r="I574">
        <v>-3.62</v>
      </c>
    </row>
    <row r="575" spans="1:9" x14ac:dyDescent="0.35">
      <c r="A575" t="s">
        <v>699</v>
      </c>
      <c r="B575" t="s">
        <v>696</v>
      </c>
      <c r="C575" t="s">
        <v>34</v>
      </c>
      <c r="D575" t="s">
        <v>38</v>
      </c>
      <c r="E575" t="s">
        <v>4</v>
      </c>
      <c r="F575" t="s">
        <v>20</v>
      </c>
      <c r="G575">
        <v>380.52</v>
      </c>
      <c r="H575">
        <v>5</v>
      </c>
      <c r="I575">
        <v>-11.15</v>
      </c>
    </row>
    <row r="576" spans="1:9" x14ac:dyDescent="0.35">
      <c r="A576" t="s">
        <v>700</v>
      </c>
      <c r="B576" t="s">
        <v>696</v>
      </c>
      <c r="C576" t="s">
        <v>26</v>
      </c>
      <c r="D576" t="s">
        <v>23</v>
      </c>
      <c r="E576" t="s">
        <v>4</v>
      </c>
      <c r="F576" t="s">
        <v>20</v>
      </c>
      <c r="G576">
        <v>20.93</v>
      </c>
      <c r="H576">
        <v>2</v>
      </c>
      <c r="I576">
        <v>2.54</v>
      </c>
    </row>
    <row r="577" spans="1:9" x14ac:dyDescent="0.35">
      <c r="A577" t="s">
        <v>701</v>
      </c>
      <c r="B577" t="s">
        <v>696</v>
      </c>
      <c r="C577" t="s">
        <v>34</v>
      </c>
      <c r="D577" t="s">
        <v>23</v>
      </c>
      <c r="E577" t="s">
        <v>4</v>
      </c>
      <c r="F577" t="s">
        <v>39</v>
      </c>
      <c r="G577">
        <v>269.64999999999998</v>
      </c>
      <c r="H577">
        <v>9</v>
      </c>
      <c r="I577">
        <v>47.05</v>
      </c>
    </row>
    <row r="578" spans="1:9" x14ac:dyDescent="0.35">
      <c r="A578" t="s">
        <v>702</v>
      </c>
      <c r="B578" t="s">
        <v>703</v>
      </c>
      <c r="C578" t="s">
        <v>16</v>
      </c>
      <c r="D578" t="s">
        <v>17</v>
      </c>
      <c r="E578" t="s">
        <v>5</v>
      </c>
      <c r="F578" t="s">
        <v>31</v>
      </c>
      <c r="G578">
        <v>464.55</v>
      </c>
      <c r="H578">
        <v>4</v>
      </c>
      <c r="I578">
        <v>103.6</v>
      </c>
    </row>
    <row r="579" spans="1:9" x14ac:dyDescent="0.35">
      <c r="A579" t="s">
        <v>704</v>
      </c>
      <c r="B579" t="s">
        <v>703</v>
      </c>
      <c r="C579" t="s">
        <v>16</v>
      </c>
      <c r="D579" t="s">
        <v>17</v>
      </c>
      <c r="E579" t="s">
        <v>4</v>
      </c>
      <c r="F579" t="s">
        <v>20</v>
      </c>
      <c r="G579">
        <v>34.369999999999997</v>
      </c>
      <c r="H579">
        <v>4</v>
      </c>
      <c r="I579">
        <v>-0.15</v>
      </c>
    </row>
    <row r="580" spans="1:9" x14ac:dyDescent="0.35">
      <c r="A580" t="s">
        <v>705</v>
      </c>
      <c r="B580" t="s">
        <v>703</v>
      </c>
      <c r="C580" t="s">
        <v>34</v>
      </c>
      <c r="D580" t="s">
        <v>17</v>
      </c>
      <c r="E580" t="s">
        <v>3</v>
      </c>
      <c r="F580" t="s">
        <v>27</v>
      </c>
      <c r="G580">
        <v>46.41</v>
      </c>
      <c r="H580">
        <v>5</v>
      </c>
      <c r="I580">
        <v>5.08</v>
      </c>
    </row>
    <row r="581" spans="1:9" x14ac:dyDescent="0.35">
      <c r="A581" t="s">
        <v>706</v>
      </c>
      <c r="B581" t="s">
        <v>703</v>
      </c>
      <c r="C581" t="s">
        <v>22</v>
      </c>
      <c r="D581" t="s">
        <v>17</v>
      </c>
      <c r="E581" t="s">
        <v>5</v>
      </c>
      <c r="F581" t="s">
        <v>29</v>
      </c>
      <c r="G581">
        <v>505.66</v>
      </c>
      <c r="H581">
        <v>8</v>
      </c>
      <c r="I581">
        <v>131.65</v>
      </c>
    </row>
    <row r="582" spans="1:9" x14ac:dyDescent="0.35">
      <c r="A582" t="s">
        <v>707</v>
      </c>
      <c r="B582" t="s">
        <v>703</v>
      </c>
      <c r="C582" t="s">
        <v>26</v>
      </c>
      <c r="D582" t="s">
        <v>23</v>
      </c>
      <c r="E582" t="s">
        <v>3</v>
      </c>
      <c r="F582" t="s">
        <v>49</v>
      </c>
      <c r="G582">
        <v>135.68</v>
      </c>
      <c r="H582">
        <v>4</v>
      </c>
      <c r="I582">
        <v>12.63</v>
      </c>
    </row>
    <row r="583" spans="1:9" x14ac:dyDescent="0.35">
      <c r="A583" t="s">
        <v>708</v>
      </c>
      <c r="B583" t="s">
        <v>703</v>
      </c>
      <c r="C583" t="s">
        <v>26</v>
      </c>
      <c r="D583" t="s">
        <v>38</v>
      </c>
      <c r="E583" t="s">
        <v>4</v>
      </c>
      <c r="F583" t="s">
        <v>39</v>
      </c>
      <c r="G583">
        <v>22.14</v>
      </c>
      <c r="H583">
        <v>5</v>
      </c>
      <c r="I583">
        <v>2.75</v>
      </c>
    </row>
    <row r="584" spans="1:9" x14ac:dyDescent="0.35">
      <c r="A584" t="s">
        <v>709</v>
      </c>
      <c r="B584" t="s">
        <v>710</v>
      </c>
      <c r="C584" t="s">
        <v>16</v>
      </c>
      <c r="D584" t="s">
        <v>23</v>
      </c>
      <c r="E584" t="s">
        <v>3</v>
      </c>
      <c r="F584" t="s">
        <v>49</v>
      </c>
      <c r="G584">
        <v>64.69</v>
      </c>
      <c r="H584">
        <v>4</v>
      </c>
      <c r="I584">
        <v>-8.93</v>
      </c>
    </row>
    <row r="585" spans="1:9" x14ac:dyDescent="0.35">
      <c r="A585" t="s">
        <v>711</v>
      </c>
      <c r="B585" t="s">
        <v>710</v>
      </c>
      <c r="C585" t="s">
        <v>22</v>
      </c>
      <c r="D585" t="s">
        <v>23</v>
      </c>
      <c r="E585" t="s">
        <v>3</v>
      </c>
      <c r="F585" t="s">
        <v>18</v>
      </c>
      <c r="G585">
        <v>109.66</v>
      </c>
      <c r="H585">
        <v>6</v>
      </c>
      <c r="I585">
        <v>-2.5299999999999998</v>
      </c>
    </row>
    <row r="586" spans="1:9" x14ac:dyDescent="0.35">
      <c r="A586" t="s">
        <v>712</v>
      </c>
      <c r="B586" t="s">
        <v>710</v>
      </c>
      <c r="C586" t="s">
        <v>34</v>
      </c>
      <c r="D586" t="s">
        <v>17</v>
      </c>
      <c r="E586" t="s">
        <v>4</v>
      </c>
      <c r="F586" t="s">
        <v>24</v>
      </c>
      <c r="G586">
        <v>197.09</v>
      </c>
      <c r="H586">
        <v>3</v>
      </c>
      <c r="I586">
        <v>25.31</v>
      </c>
    </row>
    <row r="587" spans="1:9" x14ac:dyDescent="0.35">
      <c r="A587" t="s">
        <v>713</v>
      </c>
      <c r="B587" t="s">
        <v>710</v>
      </c>
      <c r="C587" t="s">
        <v>26</v>
      </c>
      <c r="D587" t="s">
        <v>17</v>
      </c>
      <c r="E587" t="s">
        <v>5</v>
      </c>
      <c r="F587" t="s">
        <v>31</v>
      </c>
      <c r="G587">
        <v>218.17</v>
      </c>
      <c r="H587">
        <v>8</v>
      </c>
      <c r="I587">
        <v>28.85</v>
      </c>
    </row>
    <row r="588" spans="1:9" x14ac:dyDescent="0.35">
      <c r="A588" t="s">
        <v>714</v>
      </c>
      <c r="B588" t="s">
        <v>710</v>
      </c>
      <c r="C588" t="s">
        <v>22</v>
      </c>
      <c r="D588" t="s">
        <v>17</v>
      </c>
      <c r="E588" t="s">
        <v>5</v>
      </c>
      <c r="F588" t="s">
        <v>31</v>
      </c>
      <c r="G588">
        <v>827.96</v>
      </c>
      <c r="H588">
        <v>6</v>
      </c>
      <c r="I588">
        <v>328.68</v>
      </c>
    </row>
    <row r="589" spans="1:9" x14ac:dyDescent="0.35">
      <c r="A589" t="s">
        <v>715</v>
      </c>
      <c r="B589" t="s">
        <v>710</v>
      </c>
      <c r="C589" t="s">
        <v>26</v>
      </c>
      <c r="D589" t="s">
        <v>23</v>
      </c>
      <c r="E589" t="s">
        <v>5</v>
      </c>
      <c r="F589" t="s">
        <v>29</v>
      </c>
      <c r="G589">
        <v>70.849999999999994</v>
      </c>
      <c r="H589">
        <v>5</v>
      </c>
      <c r="I589">
        <v>13.3</v>
      </c>
    </row>
    <row r="590" spans="1:9" x14ac:dyDescent="0.35">
      <c r="A590" t="s">
        <v>716</v>
      </c>
      <c r="B590" t="s">
        <v>717</v>
      </c>
      <c r="C590" t="s">
        <v>22</v>
      </c>
      <c r="D590" t="s">
        <v>38</v>
      </c>
      <c r="E590" t="s">
        <v>5</v>
      </c>
      <c r="F590" t="s">
        <v>29</v>
      </c>
      <c r="G590">
        <v>135.9</v>
      </c>
      <c r="H590">
        <v>2</v>
      </c>
      <c r="I590">
        <v>8.9700000000000006</v>
      </c>
    </row>
    <row r="591" spans="1:9" x14ac:dyDescent="0.35">
      <c r="A591" t="s">
        <v>718</v>
      </c>
      <c r="B591" t="s">
        <v>717</v>
      </c>
      <c r="C591" t="s">
        <v>22</v>
      </c>
      <c r="D591" t="s">
        <v>23</v>
      </c>
      <c r="E591" t="s">
        <v>5</v>
      </c>
      <c r="F591" t="s">
        <v>29</v>
      </c>
      <c r="G591">
        <v>134.32</v>
      </c>
      <c r="H591">
        <v>7</v>
      </c>
      <c r="I591">
        <v>51.42</v>
      </c>
    </row>
    <row r="592" spans="1:9" x14ac:dyDescent="0.35">
      <c r="A592" t="s">
        <v>719</v>
      </c>
      <c r="B592" t="s">
        <v>717</v>
      </c>
      <c r="C592" t="s">
        <v>16</v>
      </c>
      <c r="D592" t="s">
        <v>17</v>
      </c>
      <c r="E592" t="s">
        <v>5</v>
      </c>
      <c r="F592" t="s">
        <v>29</v>
      </c>
      <c r="G592">
        <v>98.04</v>
      </c>
      <c r="H592">
        <v>2</v>
      </c>
      <c r="I592">
        <v>19.57</v>
      </c>
    </row>
    <row r="593" spans="1:9" x14ac:dyDescent="0.35">
      <c r="A593" t="s">
        <v>720</v>
      </c>
      <c r="B593" t="s">
        <v>717</v>
      </c>
      <c r="C593" t="s">
        <v>26</v>
      </c>
      <c r="D593" t="s">
        <v>17</v>
      </c>
      <c r="E593" t="s">
        <v>4</v>
      </c>
      <c r="F593" t="s">
        <v>20</v>
      </c>
      <c r="G593">
        <v>47.8</v>
      </c>
      <c r="H593">
        <v>1</v>
      </c>
      <c r="I593">
        <v>4.26</v>
      </c>
    </row>
    <row r="594" spans="1:9" x14ac:dyDescent="0.35">
      <c r="A594" t="s">
        <v>721</v>
      </c>
      <c r="B594" t="s">
        <v>717</v>
      </c>
      <c r="C594" t="s">
        <v>34</v>
      </c>
      <c r="D594" t="s">
        <v>23</v>
      </c>
      <c r="E594" t="s">
        <v>5</v>
      </c>
      <c r="F594" t="s">
        <v>31</v>
      </c>
      <c r="G594">
        <v>588.85</v>
      </c>
      <c r="H594">
        <v>7</v>
      </c>
      <c r="I594">
        <v>43.26</v>
      </c>
    </row>
    <row r="595" spans="1:9" x14ac:dyDescent="0.35">
      <c r="A595" t="s">
        <v>722</v>
      </c>
      <c r="B595" t="s">
        <v>717</v>
      </c>
      <c r="C595" t="s">
        <v>16</v>
      </c>
      <c r="D595" t="s">
        <v>17</v>
      </c>
      <c r="E595" t="s">
        <v>3</v>
      </c>
      <c r="F595" t="s">
        <v>18</v>
      </c>
      <c r="G595">
        <v>307.92</v>
      </c>
      <c r="H595">
        <v>5</v>
      </c>
      <c r="I595">
        <v>38.21</v>
      </c>
    </row>
    <row r="596" spans="1:9" x14ac:dyDescent="0.35">
      <c r="A596" t="s">
        <v>723</v>
      </c>
      <c r="B596" t="s">
        <v>724</v>
      </c>
      <c r="C596" t="s">
        <v>16</v>
      </c>
      <c r="D596" t="s">
        <v>38</v>
      </c>
      <c r="E596" t="s">
        <v>4</v>
      </c>
      <c r="F596" t="s">
        <v>20</v>
      </c>
      <c r="G596">
        <v>123.47</v>
      </c>
      <c r="H596">
        <v>1</v>
      </c>
      <c r="I596">
        <v>2.6</v>
      </c>
    </row>
    <row r="597" spans="1:9" x14ac:dyDescent="0.35">
      <c r="A597" t="s">
        <v>725</v>
      </c>
      <c r="B597" t="s">
        <v>724</v>
      </c>
      <c r="C597" t="s">
        <v>34</v>
      </c>
      <c r="D597" t="s">
        <v>38</v>
      </c>
      <c r="E597" t="s">
        <v>3</v>
      </c>
      <c r="F597" t="s">
        <v>27</v>
      </c>
      <c r="G597">
        <v>158.66999999999999</v>
      </c>
      <c r="H597">
        <v>4</v>
      </c>
      <c r="I597">
        <v>-7.01</v>
      </c>
    </row>
    <row r="598" spans="1:9" x14ac:dyDescent="0.35">
      <c r="A598" t="s">
        <v>726</v>
      </c>
      <c r="B598" t="s">
        <v>724</v>
      </c>
      <c r="C598" t="s">
        <v>16</v>
      </c>
      <c r="D598" t="s">
        <v>23</v>
      </c>
      <c r="E598" t="s">
        <v>4</v>
      </c>
      <c r="F598" t="s">
        <v>20</v>
      </c>
      <c r="G598">
        <v>58.67</v>
      </c>
      <c r="H598">
        <v>4</v>
      </c>
      <c r="I598">
        <v>14.15</v>
      </c>
    </row>
    <row r="599" spans="1:9" x14ac:dyDescent="0.35">
      <c r="A599" t="s">
        <v>727</v>
      </c>
      <c r="B599" t="s">
        <v>724</v>
      </c>
      <c r="C599" t="s">
        <v>22</v>
      </c>
      <c r="D599" t="s">
        <v>17</v>
      </c>
      <c r="E599" t="s">
        <v>5</v>
      </c>
      <c r="F599" t="s">
        <v>31</v>
      </c>
      <c r="G599">
        <v>137.72</v>
      </c>
      <c r="H599">
        <v>7</v>
      </c>
      <c r="I599">
        <v>40.24</v>
      </c>
    </row>
    <row r="600" spans="1:9" x14ac:dyDescent="0.35">
      <c r="A600" t="s">
        <v>728</v>
      </c>
      <c r="B600" t="s">
        <v>724</v>
      </c>
      <c r="C600" t="s">
        <v>22</v>
      </c>
      <c r="D600" t="s">
        <v>17</v>
      </c>
      <c r="E600" t="s">
        <v>5</v>
      </c>
      <c r="F600" t="s">
        <v>31</v>
      </c>
      <c r="G600">
        <v>198.1</v>
      </c>
      <c r="H600">
        <v>9</v>
      </c>
      <c r="I600">
        <v>48.34</v>
      </c>
    </row>
    <row r="601" spans="1:9" x14ac:dyDescent="0.35">
      <c r="A601" t="s">
        <v>729</v>
      </c>
      <c r="B601" t="s">
        <v>724</v>
      </c>
      <c r="C601" t="s">
        <v>26</v>
      </c>
      <c r="D601" t="s">
        <v>17</v>
      </c>
      <c r="E601" t="s">
        <v>5</v>
      </c>
      <c r="F601" t="s">
        <v>41</v>
      </c>
      <c r="G601">
        <v>128.59</v>
      </c>
      <c r="H601">
        <v>2</v>
      </c>
      <c r="I601">
        <v>10.27</v>
      </c>
    </row>
    <row r="602" spans="1:9" x14ac:dyDescent="0.35">
      <c r="A602" t="s">
        <v>730</v>
      </c>
      <c r="B602" t="s">
        <v>731</v>
      </c>
      <c r="C602" t="s">
        <v>26</v>
      </c>
      <c r="D602" t="s">
        <v>17</v>
      </c>
      <c r="E602" t="s">
        <v>5</v>
      </c>
      <c r="F602" t="s">
        <v>41</v>
      </c>
      <c r="G602">
        <v>715.12</v>
      </c>
      <c r="H602">
        <v>1</v>
      </c>
      <c r="I602">
        <v>120.87</v>
      </c>
    </row>
    <row r="603" spans="1:9" x14ac:dyDescent="0.35">
      <c r="A603" t="s">
        <v>732</v>
      </c>
      <c r="B603" t="s">
        <v>731</v>
      </c>
      <c r="C603" t="s">
        <v>34</v>
      </c>
      <c r="D603" t="s">
        <v>17</v>
      </c>
      <c r="E603" t="s">
        <v>5</v>
      </c>
      <c r="F603" t="s">
        <v>41</v>
      </c>
      <c r="G603">
        <v>161.76</v>
      </c>
      <c r="H603">
        <v>2</v>
      </c>
      <c r="I603">
        <v>43.48</v>
      </c>
    </row>
    <row r="604" spans="1:9" x14ac:dyDescent="0.35">
      <c r="A604" t="s">
        <v>733</v>
      </c>
      <c r="B604" t="s">
        <v>731</v>
      </c>
      <c r="C604" t="s">
        <v>26</v>
      </c>
      <c r="D604" t="s">
        <v>23</v>
      </c>
      <c r="E604" t="s">
        <v>5</v>
      </c>
      <c r="F604" t="s">
        <v>41</v>
      </c>
      <c r="G604">
        <v>89.54</v>
      </c>
      <c r="H604">
        <v>7</v>
      </c>
      <c r="I604">
        <v>15.34</v>
      </c>
    </row>
    <row r="605" spans="1:9" x14ac:dyDescent="0.35">
      <c r="A605" t="s">
        <v>734</v>
      </c>
      <c r="B605" t="s">
        <v>731</v>
      </c>
      <c r="C605" t="s">
        <v>22</v>
      </c>
      <c r="D605" t="s">
        <v>23</v>
      </c>
      <c r="E605" t="s">
        <v>5</v>
      </c>
      <c r="F605" t="s">
        <v>29</v>
      </c>
      <c r="G605">
        <v>241.86</v>
      </c>
      <c r="H605">
        <v>6</v>
      </c>
      <c r="I605">
        <v>65.38</v>
      </c>
    </row>
    <row r="606" spans="1:9" x14ac:dyDescent="0.35">
      <c r="A606" t="s">
        <v>735</v>
      </c>
      <c r="B606" t="s">
        <v>731</v>
      </c>
      <c r="C606" t="s">
        <v>34</v>
      </c>
      <c r="D606" t="s">
        <v>17</v>
      </c>
      <c r="E606" t="s">
        <v>5</v>
      </c>
      <c r="F606" t="s">
        <v>41</v>
      </c>
      <c r="G606">
        <v>48.03</v>
      </c>
      <c r="H606">
        <v>4</v>
      </c>
      <c r="I606">
        <v>15.28</v>
      </c>
    </row>
    <row r="607" spans="1:9" x14ac:dyDescent="0.35">
      <c r="A607" t="s">
        <v>736</v>
      </c>
      <c r="B607" t="s">
        <v>731</v>
      </c>
      <c r="C607" t="s">
        <v>34</v>
      </c>
      <c r="D607" t="s">
        <v>17</v>
      </c>
      <c r="E607" t="s">
        <v>3</v>
      </c>
      <c r="F607" t="s">
        <v>27</v>
      </c>
      <c r="G607">
        <v>92.8</v>
      </c>
      <c r="H607">
        <v>1</v>
      </c>
      <c r="I607">
        <v>4.29</v>
      </c>
    </row>
    <row r="608" spans="1:9" x14ac:dyDescent="0.35">
      <c r="A608" t="s">
        <v>737</v>
      </c>
      <c r="B608" t="s">
        <v>738</v>
      </c>
      <c r="C608" t="s">
        <v>26</v>
      </c>
      <c r="D608" t="s">
        <v>17</v>
      </c>
      <c r="E608" t="s">
        <v>5</v>
      </c>
      <c r="F608" t="s">
        <v>29</v>
      </c>
      <c r="G608">
        <v>83.92</v>
      </c>
      <c r="H608">
        <v>1</v>
      </c>
      <c r="I608">
        <v>10.69</v>
      </c>
    </row>
    <row r="609" spans="1:9" x14ac:dyDescent="0.35">
      <c r="A609" t="s">
        <v>739</v>
      </c>
      <c r="B609" t="s">
        <v>738</v>
      </c>
      <c r="C609" t="s">
        <v>22</v>
      </c>
      <c r="D609" t="s">
        <v>17</v>
      </c>
      <c r="E609" t="s">
        <v>3</v>
      </c>
      <c r="F609" t="s">
        <v>49</v>
      </c>
      <c r="G609">
        <v>104.79</v>
      </c>
      <c r="H609">
        <v>5</v>
      </c>
      <c r="I609">
        <v>17.78</v>
      </c>
    </row>
    <row r="610" spans="1:9" x14ac:dyDescent="0.35">
      <c r="A610" t="s">
        <v>740</v>
      </c>
      <c r="B610" t="s">
        <v>738</v>
      </c>
      <c r="C610" t="s">
        <v>34</v>
      </c>
      <c r="D610" t="s">
        <v>38</v>
      </c>
      <c r="E610" t="s">
        <v>3</v>
      </c>
      <c r="F610" t="s">
        <v>27</v>
      </c>
      <c r="G610">
        <v>248.34</v>
      </c>
      <c r="H610">
        <v>1</v>
      </c>
      <c r="I610">
        <v>6.64</v>
      </c>
    </row>
    <row r="611" spans="1:9" x14ac:dyDescent="0.35">
      <c r="A611" t="s">
        <v>741</v>
      </c>
      <c r="B611" t="s">
        <v>738</v>
      </c>
      <c r="C611" t="s">
        <v>22</v>
      </c>
      <c r="D611" t="s">
        <v>17</v>
      </c>
      <c r="E611" t="s">
        <v>4</v>
      </c>
      <c r="F611" t="s">
        <v>20</v>
      </c>
      <c r="G611">
        <v>119.3</v>
      </c>
      <c r="H611">
        <v>7</v>
      </c>
      <c r="I611">
        <v>17.87</v>
      </c>
    </row>
    <row r="612" spans="1:9" x14ac:dyDescent="0.35">
      <c r="A612" t="s">
        <v>742</v>
      </c>
      <c r="B612" t="s">
        <v>738</v>
      </c>
      <c r="C612" t="s">
        <v>22</v>
      </c>
      <c r="D612" t="s">
        <v>17</v>
      </c>
      <c r="E612" t="s">
        <v>5</v>
      </c>
      <c r="F612" t="s">
        <v>29</v>
      </c>
      <c r="G612">
        <v>256.99</v>
      </c>
      <c r="H612">
        <v>1</v>
      </c>
      <c r="I612">
        <v>92.25</v>
      </c>
    </row>
    <row r="613" spans="1:9" x14ac:dyDescent="0.35">
      <c r="A613" t="s">
        <v>743</v>
      </c>
      <c r="B613" t="s">
        <v>738</v>
      </c>
      <c r="C613" t="s">
        <v>22</v>
      </c>
      <c r="D613" t="s">
        <v>17</v>
      </c>
      <c r="E613" t="s">
        <v>4</v>
      </c>
      <c r="F613" t="s">
        <v>39</v>
      </c>
      <c r="G613">
        <v>148.88</v>
      </c>
      <c r="H613">
        <v>1</v>
      </c>
      <c r="I613">
        <v>57.55</v>
      </c>
    </row>
    <row r="614" spans="1:9" x14ac:dyDescent="0.35">
      <c r="A614" t="s">
        <v>744</v>
      </c>
      <c r="B614" t="s">
        <v>745</v>
      </c>
      <c r="C614" t="s">
        <v>26</v>
      </c>
      <c r="D614" t="s">
        <v>38</v>
      </c>
      <c r="E614" t="s">
        <v>4</v>
      </c>
      <c r="F614" t="s">
        <v>20</v>
      </c>
      <c r="G614">
        <v>82.8</v>
      </c>
      <c r="H614">
        <v>2</v>
      </c>
      <c r="I614">
        <v>0.51</v>
      </c>
    </row>
    <row r="615" spans="1:9" x14ac:dyDescent="0.35">
      <c r="A615" t="s">
        <v>746</v>
      </c>
      <c r="B615" t="s">
        <v>745</v>
      </c>
      <c r="C615" t="s">
        <v>16</v>
      </c>
      <c r="D615" t="s">
        <v>23</v>
      </c>
      <c r="E615" t="s">
        <v>5</v>
      </c>
      <c r="F615" t="s">
        <v>31</v>
      </c>
      <c r="G615">
        <v>269.08999999999997</v>
      </c>
      <c r="H615">
        <v>3</v>
      </c>
      <c r="I615">
        <v>61.21</v>
      </c>
    </row>
    <row r="616" spans="1:9" x14ac:dyDescent="0.35">
      <c r="A616" t="s">
        <v>747</v>
      </c>
      <c r="B616" t="s">
        <v>745</v>
      </c>
      <c r="C616" t="s">
        <v>16</v>
      </c>
      <c r="D616" t="s">
        <v>17</v>
      </c>
      <c r="E616" t="s">
        <v>4</v>
      </c>
      <c r="F616" t="s">
        <v>20</v>
      </c>
      <c r="G616">
        <v>60.83</v>
      </c>
      <c r="H616">
        <v>1</v>
      </c>
      <c r="I616">
        <v>-5.34</v>
      </c>
    </row>
    <row r="617" spans="1:9" x14ac:dyDescent="0.35">
      <c r="A617" t="s">
        <v>748</v>
      </c>
      <c r="B617" t="s">
        <v>745</v>
      </c>
      <c r="C617" t="s">
        <v>34</v>
      </c>
      <c r="D617" t="s">
        <v>23</v>
      </c>
      <c r="E617" t="s">
        <v>4</v>
      </c>
      <c r="F617" t="s">
        <v>24</v>
      </c>
      <c r="G617">
        <v>58.11</v>
      </c>
      <c r="H617">
        <v>9</v>
      </c>
      <c r="I617">
        <v>9.84</v>
      </c>
    </row>
    <row r="618" spans="1:9" x14ac:dyDescent="0.35">
      <c r="A618" t="s">
        <v>749</v>
      </c>
      <c r="B618" t="s">
        <v>745</v>
      </c>
      <c r="C618" t="s">
        <v>22</v>
      </c>
      <c r="D618" t="s">
        <v>23</v>
      </c>
      <c r="E618" t="s">
        <v>5</v>
      </c>
      <c r="F618" t="s">
        <v>29</v>
      </c>
      <c r="G618">
        <v>125.33</v>
      </c>
      <c r="H618">
        <v>8</v>
      </c>
      <c r="I618">
        <v>35.909999999999997</v>
      </c>
    </row>
    <row r="619" spans="1:9" x14ac:dyDescent="0.35">
      <c r="A619" t="s">
        <v>750</v>
      </c>
      <c r="B619" t="s">
        <v>745</v>
      </c>
      <c r="C619" t="s">
        <v>26</v>
      </c>
      <c r="D619" t="s">
        <v>38</v>
      </c>
      <c r="E619" t="s">
        <v>5</v>
      </c>
      <c r="F619" t="s">
        <v>41</v>
      </c>
      <c r="G619">
        <v>65.34</v>
      </c>
      <c r="H619">
        <v>5</v>
      </c>
      <c r="I619">
        <v>16.079999999999998</v>
      </c>
    </row>
    <row r="620" spans="1:9" x14ac:dyDescent="0.35">
      <c r="A620" t="s">
        <v>751</v>
      </c>
      <c r="B620" t="s">
        <v>752</v>
      </c>
      <c r="C620" t="s">
        <v>22</v>
      </c>
      <c r="D620" t="s">
        <v>17</v>
      </c>
      <c r="E620" t="s">
        <v>4</v>
      </c>
      <c r="F620" t="s">
        <v>24</v>
      </c>
      <c r="G620">
        <v>21.37</v>
      </c>
      <c r="H620">
        <v>2</v>
      </c>
      <c r="I620">
        <v>1.81</v>
      </c>
    </row>
    <row r="621" spans="1:9" x14ac:dyDescent="0.35">
      <c r="A621" t="s">
        <v>753</v>
      </c>
      <c r="B621" t="s">
        <v>752</v>
      </c>
      <c r="C621" t="s">
        <v>22</v>
      </c>
      <c r="D621" t="s">
        <v>38</v>
      </c>
      <c r="E621" t="s">
        <v>4</v>
      </c>
      <c r="F621" t="s">
        <v>20</v>
      </c>
      <c r="G621">
        <v>176.75</v>
      </c>
      <c r="H621">
        <v>5</v>
      </c>
      <c r="I621">
        <v>-9.7100000000000009</v>
      </c>
    </row>
    <row r="622" spans="1:9" x14ac:dyDescent="0.35">
      <c r="A622" t="s">
        <v>754</v>
      </c>
      <c r="B622" t="s">
        <v>752</v>
      </c>
      <c r="C622" t="s">
        <v>26</v>
      </c>
      <c r="D622" t="s">
        <v>38</v>
      </c>
      <c r="E622" t="s">
        <v>5</v>
      </c>
      <c r="F622" t="s">
        <v>29</v>
      </c>
      <c r="G622">
        <v>127.34</v>
      </c>
      <c r="H622">
        <v>6</v>
      </c>
      <c r="I622">
        <v>36.590000000000003</v>
      </c>
    </row>
    <row r="623" spans="1:9" x14ac:dyDescent="0.35">
      <c r="A623" t="s">
        <v>755</v>
      </c>
      <c r="B623" t="s">
        <v>752</v>
      </c>
      <c r="C623" t="s">
        <v>16</v>
      </c>
      <c r="D623" t="s">
        <v>38</v>
      </c>
      <c r="E623" t="s">
        <v>5</v>
      </c>
      <c r="F623" t="s">
        <v>29</v>
      </c>
      <c r="G623">
        <v>108.46</v>
      </c>
      <c r="H623">
        <v>1</v>
      </c>
      <c r="I623">
        <v>42.9</v>
      </c>
    </row>
    <row r="624" spans="1:9" x14ac:dyDescent="0.35">
      <c r="A624" t="s">
        <v>756</v>
      </c>
      <c r="B624" t="s">
        <v>752</v>
      </c>
      <c r="C624" t="s">
        <v>22</v>
      </c>
      <c r="D624" t="s">
        <v>23</v>
      </c>
      <c r="E624" t="s">
        <v>3</v>
      </c>
      <c r="F624" t="s">
        <v>27</v>
      </c>
      <c r="G624">
        <v>531.54</v>
      </c>
      <c r="H624">
        <v>4</v>
      </c>
      <c r="I624">
        <v>-57.99</v>
      </c>
    </row>
    <row r="625" spans="1:9" x14ac:dyDescent="0.35">
      <c r="A625" t="s">
        <v>757</v>
      </c>
      <c r="B625" t="s">
        <v>752</v>
      </c>
      <c r="C625" t="s">
        <v>22</v>
      </c>
      <c r="D625" t="s">
        <v>23</v>
      </c>
      <c r="E625" t="s">
        <v>3</v>
      </c>
      <c r="F625" t="s">
        <v>27</v>
      </c>
      <c r="G625">
        <v>147.01</v>
      </c>
      <c r="H625">
        <v>9</v>
      </c>
      <c r="I625">
        <v>-0.88</v>
      </c>
    </row>
    <row r="626" spans="1:9" x14ac:dyDescent="0.35">
      <c r="A626" t="s">
        <v>758</v>
      </c>
      <c r="B626" t="s">
        <v>759</v>
      </c>
      <c r="C626" t="s">
        <v>16</v>
      </c>
      <c r="D626" t="s">
        <v>17</v>
      </c>
      <c r="E626" t="s">
        <v>4</v>
      </c>
      <c r="F626" t="s">
        <v>24</v>
      </c>
      <c r="G626">
        <v>318.64</v>
      </c>
      <c r="H626">
        <v>2</v>
      </c>
      <c r="I626">
        <v>-2.17</v>
      </c>
    </row>
    <row r="627" spans="1:9" x14ac:dyDescent="0.35">
      <c r="A627" t="s">
        <v>760</v>
      </c>
      <c r="B627" t="s">
        <v>759</v>
      </c>
      <c r="C627" t="s">
        <v>26</v>
      </c>
      <c r="D627" t="s">
        <v>23</v>
      </c>
      <c r="E627" t="s">
        <v>3</v>
      </c>
      <c r="F627" t="s">
        <v>49</v>
      </c>
      <c r="G627">
        <v>42.53</v>
      </c>
      <c r="H627">
        <v>5</v>
      </c>
      <c r="I627">
        <v>-0.18</v>
      </c>
    </row>
    <row r="628" spans="1:9" x14ac:dyDescent="0.35">
      <c r="A628" t="s">
        <v>761</v>
      </c>
      <c r="B628" t="s">
        <v>759</v>
      </c>
      <c r="C628" t="s">
        <v>34</v>
      </c>
      <c r="D628" t="s">
        <v>23</v>
      </c>
      <c r="E628" t="s">
        <v>3</v>
      </c>
      <c r="F628" t="s">
        <v>49</v>
      </c>
      <c r="G628">
        <v>146.32</v>
      </c>
      <c r="H628">
        <v>1</v>
      </c>
      <c r="I628">
        <v>-13.07</v>
      </c>
    </row>
    <row r="629" spans="1:9" x14ac:dyDescent="0.35">
      <c r="A629" t="s">
        <v>762</v>
      </c>
      <c r="B629" t="s">
        <v>759</v>
      </c>
      <c r="C629" t="s">
        <v>16</v>
      </c>
      <c r="D629" t="s">
        <v>23</v>
      </c>
      <c r="E629" t="s">
        <v>4</v>
      </c>
      <c r="F629" t="s">
        <v>24</v>
      </c>
      <c r="G629">
        <v>323.72000000000003</v>
      </c>
      <c r="H629">
        <v>4</v>
      </c>
      <c r="I629">
        <v>23.88</v>
      </c>
    </row>
    <row r="630" spans="1:9" x14ac:dyDescent="0.35">
      <c r="A630" t="s">
        <v>763</v>
      </c>
      <c r="B630" t="s">
        <v>759</v>
      </c>
      <c r="C630" t="s">
        <v>34</v>
      </c>
      <c r="D630" t="s">
        <v>17</v>
      </c>
      <c r="E630" t="s">
        <v>5</v>
      </c>
      <c r="F630" t="s">
        <v>29</v>
      </c>
      <c r="G630">
        <v>151.24</v>
      </c>
      <c r="H630">
        <v>4</v>
      </c>
      <c r="I630">
        <v>26.31</v>
      </c>
    </row>
    <row r="631" spans="1:9" x14ac:dyDescent="0.35">
      <c r="A631" t="s">
        <v>764</v>
      </c>
      <c r="B631" t="s">
        <v>759</v>
      </c>
      <c r="C631" t="s">
        <v>34</v>
      </c>
      <c r="D631" t="s">
        <v>23</v>
      </c>
      <c r="E631" t="s">
        <v>5</v>
      </c>
      <c r="F631" t="s">
        <v>41</v>
      </c>
      <c r="G631">
        <v>209.88</v>
      </c>
      <c r="H631">
        <v>6</v>
      </c>
      <c r="I631">
        <v>44.21</v>
      </c>
    </row>
    <row r="632" spans="1:9" x14ac:dyDescent="0.35">
      <c r="A632" t="s">
        <v>765</v>
      </c>
      <c r="B632" t="s">
        <v>766</v>
      </c>
      <c r="C632" t="s">
        <v>16</v>
      </c>
      <c r="D632" t="s">
        <v>38</v>
      </c>
      <c r="E632" t="s">
        <v>4</v>
      </c>
      <c r="F632" t="s">
        <v>24</v>
      </c>
      <c r="G632">
        <v>89.79</v>
      </c>
      <c r="H632">
        <v>9</v>
      </c>
      <c r="I632">
        <v>16.899999999999999</v>
      </c>
    </row>
    <row r="633" spans="1:9" x14ac:dyDescent="0.35">
      <c r="A633" t="s">
        <v>767</v>
      </c>
      <c r="B633" t="s">
        <v>766</v>
      </c>
      <c r="C633" t="s">
        <v>22</v>
      </c>
      <c r="D633" t="s">
        <v>17</v>
      </c>
      <c r="E633" t="s">
        <v>4</v>
      </c>
      <c r="F633" t="s">
        <v>20</v>
      </c>
      <c r="G633">
        <v>34.549999999999997</v>
      </c>
      <c r="H633">
        <v>3</v>
      </c>
      <c r="I633">
        <v>0.65</v>
      </c>
    </row>
    <row r="634" spans="1:9" x14ac:dyDescent="0.35">
      <c r="A634" t="s">
        <v>768</v>
      </c>
      <c r="B634" t="s">
        <v>766</v>
      </c>
      <c r="C634" t="s">
        <v>34</v>
      </c>
      <c r="D634" t="s">
        <v>38</v>
      </c>
      <c r="E634" t="s">
        <v>3</v>
      </c>
      <c r="F634" t="s">
        <v>49</v>
      </c>
      <c r="G634">
        <v>111.85</v>
      </c>
      <c r="H634">
        <v>9</v>
      </c>
      <c r="I634">
        <v>-10.029999999999999</v>
      </c>
    </row>
    <row r="635" spans="1:9" x14ac:dyDescent="0.35">
      <c r="A635" t="s">
        <v>769</v>
      </c>
      <c r="B635" t="s">
        <v>766</v>
      </c>
      <c r="C635" t="s">
        <v>34</v>
      </c>
      <c r="D635" t="s">
        <v>23</v>
      </c>
      <c r="E635" t="s">
        <v>3</v>
      </c>
      <c r="F635" t="s">
        <v>18</v>
      </c>
      <c r="G635">
        <v>95.25</v>
      </c>
      <c r="H635">
        <v>6</v>
      </c>
      <c r="I635">
        <v>-5.16</v>
      </c>
    </row>
    <row r="636" spans="1:9" x14ac:dyDescent="0.35">
      <c r="A636" t="s">
        <v>770</v>
      </c>
      <c r="B636" t="s">
        <v>766</v>
      </c>
      <c r="C636" t="s">
        <v>26</v>
      </c>
      <c r="D636" t="s">
        <v>38</v>
      </c>
      <c r="E636" t="s">
        <v>5</v>
      </c>
      <c r="F636" t="s">
        <v>29</v>
      </c>
      <c r="G636">
        <v>322.68</v>
      </c>
      <c r="H636">
        <v>7</v>
      </c>
      <c r="I636">
        <v>45.21</v>
      </c>
    </row>
    <row r="637" spans="1:9" x14ac:dyDescent="0.35">
      <c r="A637" t="s">
        <v>771</v>
      </c>
      <c r="B637" t="s">
        <v>766</v>
      </c>
      <c r="C637" t="s">
        <v>22</v>
      </c>
      <c r="D637" t="s">
        <v>17</v>
      </c>
      <c r="E637" t="s">
        <v>3</v>
      </c>
      <c r="F637" t="s">
        <v>18</v>
      </c>
      <c r="G637">
        <v>61.96</v>
      </c>
      <c r="H637">
        <v>2</v>
      </c>
      <c r="I637">
        <v>8.0299999999999994</v>
      </c>
    </row>
    <row r="638" spans="1:9" x14ac:dyDescent="0.35">
      <c r="A638" t="s">
        <v>772</v>
      </c>
      <c r="B638" t="s">
        <v>773</v>
      </c>
      <c r="C638" t="s">
        <v>34</v>
      </c>
      <c r="D638" t="s">
        <v>17</v>
      </c>
      <c r="E638" t="s">
        <v>3</v>
      </c>
      <c r="F638" t="s">
        <v>18</v>
      </c>
      <c r="G638">
        <v>530.48</v>
      </c>
      <c r="H638">
        <v>6</v>
      </c>
      <c r="I638">
        <v>-71.8</v>
      </c>
    </row>
    <row r="639" spans="1:9" x14ac:dyDescent="0.35">
      <c r="A639" t="s">
        <v>774</v>
      </c>
      <c r="B639" t="s">
        <v>773</v>
      </c>
      <c r="C639" t="s">
        <v>26</v>
      </c>
      <c r="D639" t="s">
        <v>38</v>
      </c>
      <c r="E639" t="s">
        <v>5</v>
      </c>
      <c r="F639" t="s">
        <v>41</v>
      </c>
      <c r="G639">
        <v>496.01</v>
      </c>
      <c r="H639">
        <v>6</v>
      </c>
      <c r="I639">
        <v>90.8</v>
      </c>
    </row>
    <row r="640" spans="1:9" x14ac:dyDescent="0.35">
      <c r="A640" t="s">
        <v>775</v>
      </c>
      <c r="B640" t="s">
        <v>773</v>
      </c>
      <c r="C640" t="s">
        <v>22</v>
      </c>
      <c r="D640" t="s">
        <v>17</v>
      </c>
      <c r="E640" t="s">
        <v>5</v>
      </c>
      <c r="F640" t="s">
        <v>41</v>
      </c>
      <c r="G640">
        <v>62.68</v>
      </c>
      <c r="H640">
        <v>2</v>
      </c>
      <c r="I640">
        <v>9.5399999999999991</v>
      </c>
    </row>
    <row r="641" spans="1:9" x14ac:dyDescent="0.35">
      <c r="A641" t="s">
        <v>776</v>
      </c>
      <c r="B641" t="s">
        <v>773</v>
      </c>
      <c r="C641" t="s">
        <v>16</v>
      </c>
      <c r="D641" t="s">
        <v>38</v>
      </c>
      <c r="E641" t="s">
        <v>3</v>
      </c>
      <c r="F641" t="s">
        <v>49</v>
      </c>
      <c r="G641">
        <v>84.17</v>
      </c>
      <c r="H641">
        <v>2</v>
      </c>
      <c r="I641">
        <v>10.93</v>
      </c>
    </row>
    <row r="642" spans="1:9" x14ac:dyDescent="0.35">
      <c r="A642" t="s">
        <v>777</v>
      </c>
      <c r="B642" t="s">
        <v>773</v>
      </c>
      <c r="C642" t="s">
        <v>16</v>
      </c>
      <c r="D642" t="s">
        <v>17</v>
      </c>
      <c r="E642" t="s">
        <v>5</v>
      </c>
      <c r="F642" t="s">
        <v>31</v>
      </c>
      <c r="G642">
        <v>358.87</v>
      </c>
      <c r="H642">
        <v>2</v>
      </c>
      <c r="I642">
        <v>109.56</v>
      </c>
    </row>
    <row r="643" spans="1:9" x14ac:dyDescent="0.35">
      <c r="A643" t="s">
        <v>778</v>
      </c>
      <c r="B643" t="s">
        <v>773</v>
      </c>
      <c r="C643" t="s">
        <v>26</v>
      </c>
      <c r="D643" t="s">
        <v>23</v>
      </c>
      <c r="E643" t="s">
        <v>3</v>
      </c>
      <c r="F643" t="s">
        <v>49</v>
      </c>
      <c r="G643">
        <v>529.98</v>
      </c>
      <c r="H643">
        <v>1</v>
      </c>
      <c r="I643">
        <v>-76.14</v>
      </c>
    </row>
    <row r="644" spans="1:9" x14ac:dyDescent="0.35">
      <c r="A644" t="s">
        <v>779</v>
      </c>
      <c r="B644" t="s">
        <v>780</v>
      </c>
      <c r="C644" t="s">
        <v>16</v>
      </c>
      <c r="D644" t="s">
        <v>17</v>
      </c>
      <c r="E644" t="s">
        <v>5</v>
      </c>
      <c r="F644" t="s">
        <v>29</v>
      </c>
      <c r="G644">
        <v>107.9</v>
      </c>
      <c r="H644">
        <v>5</v>
      </c>
      <c r="I644">
        <v>38.909999999999997</v>
      </c>
    </row>
    <row r="645" spans="1:9" x14ac:dyDescent="0.35">
      <c r="A645" t="s">
        <v>781</v>
      </c>
      <c r="B645" t="s">
        <v>780</v>
      </c>
      <c r="C645" t="s">
        <v>34</v>
      </c>
      <c r="D645" t="s">
        <v>23</v>
      </c>
      <c r="E645" t="s">
        <v>3</v>
      </c>
      <c r="F645" t="s">
        <v>49</v>
      </c>
      <c r="G645">
        <v>78.069999999999993</v>
      </c>
      <c r="H645">
        <v>8</v>
      </c>
      <c r="I645">
        <v>-2.34</v>
      </c>
    </row>
    <row r="646" spans="1:9" x14ac:dyDescent="0.35">
      <c r="A646" t="s">
        <v>782</v>
      </c>
      <c r="B646" t="s">
        <v>780</v>
      </c>
      <c r="C646" t="s">
        <v>22</v>
      </c>
      <c r="D646" t="s">
        <v>17</v>
      </c>
      <c r="E646" t="s">
        <v>5</v>
      </c>
      <c r="F646" t="s">
        <v>29</v>
      </c>
      <c r="G646">
        <v>132.01</v>
      </c>
      <c r="H646">
        <v>2</v>
      </c>
      <c r="I646">
        <v>36.4</v>
      </c>
    </row>
    <row r="647" spans="1:9" x14ac:dyDescent="0.35">
      <c r="A647" t="s">
        <v>783</v>
      </c>
      <c r="B647" t="s">
        <v>780</v>
      </c>
      <c r="C647" t="s">
        <v>34</v>
      </c>
      <c r="D647" t="s">
        <v>17</v>
      </c>
      <c r="E647" t="s">
        <v>4</v>
      </c>
      <c r="F647" t="s">
        <v>24</v>
      </c>
      <c r="G647">
        <v>194.6</v>
      </c>
      <c r="H647">
        <v>5</v>
      </c>
      <c r="I647">
        <v>22.49</v>
      </c>
    </row>
    <row r="648" spans="1:9" x14ac:dyDescent="0.35">
      <c r="A648" t="s">
        <v>784</v>
      </c>
      <c r="B648" t="s">
        <v>780</v>
      </c>
      <c r="C648" t="s">
        <v>34</v>
      </c>
      <c r="D648" t="s">
        <v>17</v>
      </c>
      <c r="E648" t="s">
        <v>3</v>
      </c>
      <c r="F648" t="s">
        <v>18</v>
      </c>
      <c r="G648">
        <v>67.92</v>
      </c>
      <c r="H648">
        <v>8</v>
      </c>
      <c r="I648">
        <v>-8.49</v>
      </c>
    </row>
    <row r="649" spans="1:9" x14ac:dyDescent="0.35">
      <c r="A649" t="s">
        <v>785</v>
      </c>
      <c r="B649" t="s">
        <v>780</v>
      </c>
      <c r="C649" t="s">
        <v>16</v>
      </c>
      <c r="D649" t="s">
        <v>17</v>
      </c>
      <c r="E649" t="s">
        <v>4</v>
      </c>
      <c r="F649" t="s">
        <v>20</v>
      </c>
      <c r="G649">
        <v>220.04</v>
      </c>
      <c r="H649">
        <v>5</v>
      </c>
      <c r="I649">
        <v>40.44</v>
      </c>
    </row>
    <row r="650" spans="1:9" x14ac:dyDescent="0.35">
      <c r="A650" t="s">
        <v>786</v>
      </c>
      <c r="B650" t="s">
        <v>787</v>
      </c>
      <c r="C650" t="s">
        <v>34</v>
      </c>
      <c r="D650" t="s">
        <v>38</v>
      </c>
      <c r="E650" t="s">
        <v>4</v>
      </c>
      <c r="F650" t="s">
        <v>20</v>
      </c>
      <c r="G650">
        <v>27.96</v>
      </c>
      <c r="H650">
        <v>2</v>
      </c>
      <c r="I650">
        <v>2.67</v>
      </c>
    </row>
    <row r="651" spans="1:9" x14ac:dyDescent="0.35">
      <c r="A651" t="s">
        <v>788</v>
      </c>
      <c r="B651" t="s">
        <v>787</v>
      </c>
      <c r="C651" t="s">
        <v>16</v>
      </c>
      <c r="D651" t="s">
        <v>38</v>
      </c>
      <c r="E651" t="s">
        <v>3</v>
      </c>
      <c r="F651" t="s">
        <v>27</v>
      </c>
      <c r="G651">
        <v>27.58</v>
      </c>
      <c r="H651">
        <v>3</v>
      </c>
      <c r="I651">
        <v>3.63</v>
      </c>
    </row>
    <row r="652" spans="1:9" x14ac:dyDescent="0.35">
      <c r="A652" t="s">
        <v>789</v>
      </c>
      <c r="B652" t="s">
        <v>787</v>
      </c>
      <c r="C652" t="s">
        <v>22</v>
      </c>
      <c r="D652" t="s">
        <v>17</v>
      </c>
      <c r="E652" t="s">
        <v>5</v>
      </c>
      <c r="F652" t="s">
        <v>41</v>
      </c>
      <c r="G652">
        <v>93.23</v>
      </c>
      <c r="H652">
        <v>6</v>
      </c>
      <c r="I652">
        <v>11.47</v>
      </c>
    </row>
    <row r="653" spans="1:9" x14ac:dyDescent="0.35">
      <c r="A653" t="s">
        <v>790</v>
      </c>
      <c r="B653" t="s">
        <v>787</v>
      </c>
      <c r="C653" t="s">
        <v>22</v>
      </c>
      <c r="D653" t="s">
        <v>23</v>
      </c>
      <c r="E653" t="s">
        <v>3</v>
      </c>
      <c r="F653" t="s">
        <v>49</v>
      </c>
      <c r="G653">
        <v>85.42</v>
      </c>
      <c r="H653">
        <v>5</v>
      </c>
      <c r="I653">
        <v>8.85</v>
      </c>
    </row>
    <row r="654" spans="1:9" x14ac:dyDescent="0.35">
      <c r="A654" t="s">
        <v>791</v>
      </c>
      <c r="B654" t="s">
        <v>787</v>
      </c>
      <c r="C654" t="s">
        <v>34</v>
      </c>
      <c r="D654" t="s">
        <v>17</v>
      </c>
      <c r="E654" t="s">
        <v>3</v>
      </c>
      <c r="F654" t="s">
        <v>27</v>
      </c>
      <c r="G654">
        <v>76.89</v>
      </c>
      <c r="H654">
        <v>4</v>
      </c>
      <c r="I654">
        <v>-4.7</v>
      </c>
    </row>
    <row r="655" spans="1:9" x14ac:dyDescent="0.35">
      <c r="A655" t="s">
        <v>792</v>
      </c>
      <c r="B655" t="s">
        <v>787</v>
      </c>
      <c r="C655" t="s">
        <v>26</v>
      </c>
      <c r="D655" t="s">
        <v>23</v>
      </c>
      <c r="E655" t="s">
        <v>4</v>
      </c>
      <c r="F655" t="s">
        <v>20</v>
      </c>
      <c r="G655">
        <v>121.3</v>
      </c>
      <c r="H655">
        <v>4</v>
      </c>
      <c r="I655">
        <v>21.82</v>
      </c>
    </row>
    <row r="656" spans="1:9" x14ac:dyDescent="0.35">
      <c r="A656" t="s">
        <v>793</v>
      </c>
      <c r="B656" t="s">
        <v>794</v>
      </c>
      <c r="C656" t="s">
        <v>16</v>
      </c>
      <c r="D656" t="s">
        <v>38</v>
      </c>
      <c r="E656" t="s">
        <v>3</v>
      </c>
      <c r="F656" t="s">
        <v>49</v>
      </c>
      <c r="G656">
        <v>78.010000000000005</v>
      </c>
      <c r="H656">
        <v>5</v>
      </c>
      <c r="I656">
        <v>2.6</v>
      </c>
    </row>
    <row r="657" spans="1:9" x14ac:dyDescent="0.35">
      <c r="A657" t="s">
        <v>795</v>
      </c>
      <c r="B657" t="s">
        <v>794</v>
      </c>
      <c r="C657" t="s">
        <v>16</v>
      </c>
      <c r="D657" t="s">
        <v>38</v>
      </c>
      <c r="E657" t="s">
        <v>5</v>
      </c>
      <c r="F657" t="s">
        <v>31</v>
      </c>
      <c r="G657">
        <v>52.03</v>
      </c>
      <c r="H657">
        <v>2</v>
      </c>
      <c r="I657">
        <v>9.73</v>
      </c>
    </row>
    <row r="658" spans="1:9" x14ac:dyDescent="0.35">
      <c r="A658" t="s">
        <v>796</v>
      </c>
      <c r="B658" t="s">
        <v>794</v>
      </c>
      <c r="C658" t="s">
        <v>34</v>
      </c>
      <c r="D658" t="s">
        <v>17</v>
      </c>
      <c r="E658" t="s">
        <v>5</v>
      </c>
      <c r="F658" t="s">
        <v>41</v>
      </c>
      <c r="G658">
        <v>75.540000000000006</v>
      </c>
      <c r="H658">
        <v>9</v>
      </c>
      <c r="I658">
        <v>25.41</v>
      </c>
    </row>
    <row r="659" spans="1:9" x14ac:dyDescent="0.35">
      <c r="A659" t="s">
        <v>797</v>
      </c>
      <c r="B659" t="s">
        <v>794</v>
      </c>
      <c r="C659" t="s">
        <v>16</v>
      </c>
      <c r="D659" t="s">
        <v>23</v>
      </c>
      <c r="E659" t="s">
        <v>3</v>
      </c>
      <c r="F659" t="s">
        <v>27</v>
      </c>
      <c r="G659">
        <v>572.76</v>
      </c>
      <c r="H659">
        <v>2</v>
      </c>
      <c r="I659">
        <v>-183.72</v>
      </c>
    </row>
    <row r="660" spans="1:9" x14ac:dyDescent="0.35">
      <c r="A660" t="s">
        <v>798</v>
      </c>
      <c r="B660" t="s">
        <v>794</v>
      </c>
      <c r="C660" t="s">
        <v>16</v>
      </c>
      <c r="D660" t="s">
        <v>17</v>
      </c>
      <c r="E660" t="s">
        <v>4</v>
      </c>
      <c r="F660" t="s">
        <v>20</v>
      </c>
      <c r="G660">
        <v>99.43</v>
      </c>
      <c r="H660">
        <v>2</v>
      </c>
      <c r="I660">
        <v>7.76</v>
      </c>
    </row>
    <row r="661" spans="1:9" x14ac:dyDescent="0.35">
      <c r="A661" t="s">
        <v>799</v>
      </c>
      <c r="B661" t="s">
        <v>794</v>
      </c>
      <c r="C661" t="s">
        <v>26</v>
      </c>
      <c r="D661" t="s">
        <v>38</v>
      </c>
      <c r="E661" t="s">
        <v>3</v>
      </c>
      <c r="F661" t="s">
        <v>49</v>
      </c>
      <c r="G661">
        <v>108.24</v>
      </c>
      <c r="H661">
        <v>9</v>
      </c>
      <c r="I661">
        <v>-15.41</v>
      </c>
    </row>
    <row r="662" spans="1:9" x14ac:dyDescent="0.35">
      <c r="A662" t="s">
        <v>800</v>
      </c>
      <c r="B662" t="s">
        <v>801</v>
      </c>
      <c r="C662" t="s">
        <v>26</v>
      </c>
      <c r="D662" t="s">
        <v>17</v>
      </c>
      <c r="E662" t="s">
        <v>3</v>
      </c>
      <c r="F662" t="s">
        <v>27</v>
      </c>
      <c r="G662">
        <v>148.9</v>
      </c>
      <c r="H662">
        <v>3</v>
      </c>
      <c r="I662">
        <v>-26.11</v>
      </c>
    </row>
    <row r="663" spans="1:9" x14ac:dyDescent="0.35">
      <c r="A663" t="s">
        <v>802</v>
      </c>
      <c r="B663" t="s">
        <v>801</v>
      </c>
      <c r="C663" t="s">
        <v>34</v>
      </c>
      <c r="D663" t="s">
        <v>23</v>
      </c>
      <c r="E663" t="s">
        <v>4</v>
      </c>
      <c r="F663" t="s">
        <v>39</v>
      </c>
      <c r="G663">
        <v>634.22</v>
      </c>
      <c r="H663">
        <v>7</v>
      </c>
      <c r="I663">
        <v>81.5</v>
      </c>
    </row>
    <row r="664" spans="1:9" x14ac:dyDescent="0.35">
      <c r="A664" t="s">
        <v>803</v>
      </c>
      <c r="B664" t="s">
        <v>801</v>
      </c>
      <c r="C664" t="s">
        <v>26</v>
      </c>
      <c r="D664" t="s">
        <v>23</v>
      </c>
      <c r="E664" t="s">
        <v>4</v>
      </c>
      <c r="F664" t="s">
        <v>39</v>
      </c>
      <c r="G664">
        <v>61.48</v>
      </c>
      <c r="H664">
        <v>4</v>
      </c>
      <c r="I664">
        <v>11.59</v>
      </c>
    </row>
    <row r="665" spans="1:9" x14ac:dyDescent="0.35">
      <c r="A665" t="s">
        <v>804</v>
      </c>
      <c r="B665" t="s">
        <v>801</v>
      </c>
      <c r="C665" t="s">
        <v>34</v>
      </c>
      <c r="D665" t="s">
        <v>23</v>
      </c>
      <c r="E665" t="s">
        <v>5</v>
      </c>
      <c r="F665" t="s">
        <v>41</v>
      </c>
      <c r="G665">
        <v>191.52</v>
      </c>
      <c r="H665">
        <v>6</v>
      </c>
      <c r="I665">
        <v>61.34</v>
      </c>
    </row>
    <row r="666" spans="1:9" x14ac:dyDescent="0.35">
      <c r="A666" t="s">
        <v>805</v>
      </c>
      <c r="B666" t="s">
        <v>801</v>
      </c>
      <c r="C666" t="s">
        <v>22</v>
      </c>
      <c r="D666" t="s">
        <v>17</v>
      </c>
      <c r="E666" t="s">
        <v>5</v>
      </c>
      <c r="F666" t="s">
        <v>41</v>
      </c>
      <c r="G666">
        <v>208.81</v>
      </c>
      <c r="H666">
        <v>4</v>
      </c>
      <c r="I666">
        <v>57.23</v>
      </c>
    </row>
    <row r="667" spans="1:9" x14ac:dyDescent="0.35">
      <c r="A667" t="s">
        <v>806</v>
      </c>
      <c r="B667" t="s">
        <v>801</v>
      </c>
      <c r="C667" t="s">
        <v>34</v>
      </c>
      <c r="D667" t="s">
        <v>38</v>
      </c>
      <c r="E667" t="s">
        <v>5</v>
      </c>
      <c r="F667" t="s">
        <v>31</v>
      </c>
      <c r="G667">
        <v>160.22</v>
      </c>
      <c r="H667">
        <v>7</v>
      </c>
      <c r="I667">
        <v>29.39</v>
      </c>
    </row>
    <row r="668" spans="1:9" x14ac:dyDescent="0.35">
      <c r="A668" t="s">
        <v>807</v>
      </c>
      <c r="B668" t="s">
        <v>808</v>
      </c>
      <c r="C668" t="s">
        <v>22</v>
      </c>
      <c r="D668" t="s">
        <v>17</v>
      </c>
      <c r="E668" t="s">
        <v>5</v>
      </c>
      <c r="F668" t="s">
        <v>29</v>
      </c>
      <c r="G668">
        <v>33.909999999999997</v>
      </c>
      <c r="H668">
        <v>1</v>
      </c>
      <c r="I668">
        <v>9.73</v>
      </c>
    </row>
    <row r="669" spans="1:9" x14ac:dyDescent="0.35">
      <c r="A669" t="s">
        <v>809</v>
      </c>
      <c r="B669" t="s">
        <v>808</v>
      </c>
      <c r="C669" t="s">
        <v>34</v>
      </c>
      <c r="D669" t="s">
        <v>23</v>
      </c>
      <c r="E669" t="s">
        <v>5</v>
      </c>
      <c r="F669" t="s">
        <v>31</v>
      </c>
      <c r="G669">
        <v>189.46</v>
      </c>
      <c r="H669">
        <v>3</v>
      </c>
      <c r="I669">
        <v>49.72</v>
      </c>
    </row>
    <row r="670" spans="1:9" x14ac:dyDescent="0.35">
      <c r="A670" t="s">
        <v>810</v>
      </c>
      <c r="B670" t="s">
        <v>808</v>
      </c>
      <c r="C670" t="s">
        <v>16</v>
      </c>
      <c r="D670" t="s">
        <v>17</v>
      </c>
      <c r="E670" t="s">
        <v>5</v>
      </c>
      <c r="F670" t="s">
        <v>31</v>
      </c>
      <c r="G670">
        <v>29.94</v>
      </c>
      <c r="H670">
        <v>3</v>
      </c>
      <c r="I670">
        <v>10.29</v>
      </c>
    </row>
    <row r="671" spans="1:9" x14ac:dyDescent="0.35">
      <c r="A671" t="s">
        <v>811</v>
      </c>
      <c r="B671" t="s">
        <v>808</v>
      </c>
      <c r="C671" t="s">
        <v>26</v>
      </c>
      <c r="D671" t="s">
        <v>17</v>
      </c>
      <c r="E671" t="s">
        <v>5</v>
      </c>
      <c r="F671" t="s">
        <v>31</v>
      </c>
      <c r="G671">
        <v>156</v>
      </c>
      <c r="H671">
        <v>1</v>
      </c>
      <c r="I671">
        <v>51.12</v>
      </c>
    </row>
    <row r="672" spans="1:9" x14ac:dyDescent="0.35">
      <c r="A672" t="s">
        <v>812</v>
      </c>
      <c r="B672" t="s">
        <v>808</v>
      </c>
      <c r="C672" t="s">
        <v>22</v>
      </c>
      <c r="D672" t="s">
        <v>23</v>
      </c>
      <c r="E672" t="s">
        <v>5</v>
      </c>
      <c r="F672" t="s">
        <v>29</v>
      </c>
      <c r="G672">
        <v>221.82</v>
      </c>
      <c r="H672">
        <v>6</v>
      </c>
      <c r="I672">
        <v>56.13</v>
      </c>
    </row>
    <row r="673" spans="1:9" x14ac:dyDescent="0.35">
      <c r="A673" t="s">
        <v>813</v>
      </c>
      <c r="B673" t="s">
        <v>808</v>
      </c>
      <c r="C673" t="s">
        <v>34</v>
      </c>
      <c r="D673" t="s">
        <v>17</v>
      </c>
      <c r="E673" t="s">
        <v>4</v>
      </c>
      <c r="F673" t="s">
        <v>39</v>
      </c>
      <c r="G673">
        <v>55.54</v>
      </c>
      <c r="H673">
        <v>9</v>
      </c>
      <c r="I673">
        <v>3.35</v>
      </c>
    </row>
    <row r="674" spans="1:9" x14ac:dyDescent="0.35">
      <c r="A674" t="s">
        <v>814</v>
      </c>
      <c r="B674" t="s">
        <v>815</v>
      </c>
      <c r="C674" t="s">
        <v>26</v>
      </c>
      <c r="D674" t="s">
        <v>17</v>
      </c>
      <c r="E674" t="s">
        <v>5</v>
      </c>
      <c r="F674" t="s">
        <v>41</v>
      </c>
      <c r="G674">
        <v>296.42</v>
      </c>
      <c r="H674">
        <v>8</v>
      </c>
      <c r="I674">
        <v>54.75</v>
      </c>
    </row>
    <row r="675" spans="1:9" x14ac:dyDescent="0.35">
      <c r="A675" t="s">
        <v>816</v>
      </c>
      <c r="B675" t="s">
        <v>815</v>
      </c>
      <c r="C675" t="s">
        <v>34</v>
      </c>
      <c r="D675" t="s">
        <v>17</v>
      </c>
      <c r="E675" t="s">
        <v>3</v>
      </c>
      <c r="F675" t="s">
        <v>49</v>
      </c>
      <c r="G675">
        <v>24.62</v>
      </c>
      <c r="H675">
        <v>7</v>
      </c>
      <c r="I675">
        <v>-2.58</v>
      </c>
    </row>
    <row r="676" spans="1:9" x14ac:dyDescent="0.35">
      <c r="A676" t="s">
        <v>817</v>
      </c>
      <c r="B676" t="s">
        <v>815</v>
      </c>
      <c r="C676" t="s">
        <v>26</v>
      </c>
      <c r="D676" t="s">
        <v>17</v>
      </c>
      <c r="E676" t="s">
        <v>3</v>
      </c>
      <c r="F676" t="s">
        <v>18</v>
      </c>
      <c r="G676">
        <v>298.51</v>
      </c>
      <c r="H676">
        <v>8</v>
      </c>
      <c r="I676">
        <v>-24.34</v>
      </c>
    </row>
    <row r="677" spans="1:9" x14ac:dyDescent="0.35">
      <c r="A677" t="s">
        <v>818</v>
      </c>
      <c r="B677" t="s">
        <v>815</v>
      </c>
      <c r="C677" t="s">
        <v>26</v>
      </c>
      <c r="D677" t="s">
        <v>23</v>
      </c>
      <c r="E677" t="s">
        <v>4</v>
      </c>
      <c r="F677" t="s">
        <v>39</v>
      </c>
      <c r="G677">
        <v>112.52</v>
      </c>
      <c r="H677">
        <v>6</v>
      </c>
      <c r="I677">
        <v>19.89</v>
      </c>
    </row>
    <row r="678" spans="1:9" x14ac:dyDescent="0.35">
      <c r="A678" t="s">
        <v>819</v>
      </c>
      <c r="B678" t="s">
        <v>815</v>
      </c>
      <c r="C678" t="s">
        <v>34</v>
      </c>
      <c r="D678" t="s">
        <v>38</v>
      </c>
      <c r="E678" t="s">
        <v>5</v>
      </c>
      <c r="F678" t="s">
        <v>29</v>
      </c>
      <c r="G678">
        <v>56.81</v>
      </c>
      <c r="H678">
        <v>9</v>
      </c>
      <c r="I678">
        <v>18.27</v>
      </c>
    </row>
    <row r="679" spans="1:9" x14ac:dyDescent="0.35">
      <c r="A679" t="s">
        <v>820</v>
      </c>
      <c r="B679" t="s">
        <v>815</v>
      </c>
      <c r="C679" t="s">
        <v>22</v>
      </c>
      <c r="D679" t="s">
        <v>17</v>
      </c>
      <c r="E679" t="s">
        <v>3</v>
      </c>
      <c r="F679" t="s">
        <v>49</v>
      </c>
      <c r="G679">
        <v>41.54</v>
      </c>
      <c r="H679">
        <v>3</v>
      </c>
      <c r="I679">
        <v>-2.29</v>
      </c>
    </row>
    <row r="680" spans="1:9" x14ac:dyDescent="0.35">
      <c r="A680" t="s">
        <v>821</v>
      </c>
      <c r="B680" t="s">
        <v>822</v>
      </c>
      <c r="C680" t="s">
        <v>22</v>
      </c>
      <c r="D680" t="s">
        <v>17</v>
      </c>
      <c r="E680" t="s">
        <v>4</v>
      </c>
      <c r="F680" t="s">
        <v>39</v>
      </c>
      <c r="G680">
        <v>479.62</v>
      </c>
      <c r="H680">
        <v>9</v>
      </c>
      <c r="I680">
        <v>72.72</v>
      </c>
    </row>
    <row r="681" spans="1:9" x14ac:dyDescent="0.35">
      <c r="A681" t="s">
        <v>823</v>
      </c>
      <c r="B681" t="s">
        <v>822</v>
      </c>
      <c r="C681" t="s">
        <v>16</v>
      </c>
      <c r="D681" t="s">
        <v>17</v>
      </c>
      <c r="E681" t="s">
        <v>4</v>
      </c>
      <c r="F681" t="s">
        <v>24</v>
      </c>
      <c r="G681">
        <v>31.32</v>
      </c>
      <c r="H681">
        <v>4</v>
      </c>
      <c r="I681">
        <v>5.15</v>
      </c>
    </row>
    <row r="682" spans="1:9" x14ac:dyDescent="0.35">
      <c r="A682" t="s">
        <v>824</v>
      </c>
      <c r="B682" t="s">
        <v>822</v>
      </c>
      <c r="C682" t="s">
        <v>26</v>
      </c>
      <c r="D682" t="s">
        <v>17</v>
      </c>
      <c r="E682" t="s">
        <v>4</v>
      </c>
      <c r="F682" t="s">
        <v>20</v>
      </c>
      <c r="G682">
        <v>53.3</v>
      </c>
      <c r="H682">
        <v>7</v>
      </c>
      <c r="I682">
        <v>5.25</v>
      </c>
    </row>
    <row r="683" spans="1:9" x14ac:dyDescent="0.35">
      <c r="A683" t="s">
        <v>825</v>
      </c>
      <c r="B683" t="s">
        <v>822</v>
      </c>
      <c r="C683" t="s">
        <v>16</v>
      </c>
      <c r="D683" t="s">
        <v>23</v>
      </c>
      <c r="E683" t="s">
        <v>5</v>
      </c>
      <c r="F683" t="s">
        <v>31</v>
      </c>
      <c r="G683">
        <v>84.12</v>
      </c>
      <c r="H683">
        <v>9</v>
      </c>
      <c r="I683">
        <v>13.25</v>
      </c>
    </row>
    <row r="684" spans="1:9" x14ac:dyDescent="0.35">
      <c r="A684" t="s">
        <v>826</v>
      </c>
      <c r="B684" t="s">
        <v>822</v>
      </c>
      <c r="C684" t="s">
        <v>16</v>
      </c>
      <c r="D684" t="s">
        <v>23</v>
      </c>
      <c r="E684" t="s">
        <v>5</v>
      </c>
      <c r="F684" t="s">
        <v>31</v>
      </c>
      <c r="G684">
        <v>165.23</v>
      </c>
      <c r="H684">
        <v>2</v>
      </c>
      <c r="I684">
        <v>12.3</v>
      </c>
    </row>
    <row r="685" spans="1:9" x14ac:dyDescent="0.35">
      <c r="A685" t="s">
        <v>827</v>
      </c>
      <c r="B685" t="s">
        <v>822</v>
      </c>
      <c r="C685" t="s">
        <v>34</v>
      </c>
      <c r="D685" t="s">
        <v>17</v>
      </c>
      <c r="E685" t="s">
        <v>4</v>
      </c>
      <c r="F685" t="s">
        <v>24</v>
      </c>
      <c r="G685">
        <v>138.05000000000001</v>
      </c>
      <c r="H685">
        <v>2</v>
      </c>
      <c r="I685">
        <v>11.11</v>
      </c>
    </row>
    <row r="686" spans="1:9" x14ac:dyDescent="0.35">
      <c r="A686" t="s">
        <v>828</v>
      </c>
      <c r="B686" t="s">
        <v>829</v>
      </c>
      <c r="C686" t="s">
        <v>34</v>
      </c>
      <c r="D686" t="s">
        <v>17</v>
      </c>
      <c r="E686" t="s">
        <v>4</v>
      </c>
      <c r="F686" t="s">
        <v>20</v>
      </c>
      <c r="G686">
        <v>40.14</v>
      </c>
      <c r="H686">
        <v>9</v>
      </c>
      <c r="I686">
        <v>7.92</v>
      </c>
    </row>
    <row r="687" spans="1:9" x14ac:dyDescent="0.35">
      <c r="A687" t="s">
        <v>830</v>
      </c>
      <c r="B687" t="s">
        <v>829</v>
      </c>
      <c r="C687" t="s">
        <v>34</v>
      </c>
      <c r="D687" t="s">
        <v>17</v>
      </c>
      <c r="E687" t="s">
        <v>3</v>
      </c>
      <c r="F687" t="s">
        <v>18</v>
      </c>
      <c r="G687">
        <v>71.319999999999993</v>
      </c>
      <c r="H687">
        <v>3</v>
      </c>
      <c r="I687">
        <v>-8.58</v>
      </c>
    </row>
    <row r="688" spans="1:9" x14ac:dyDescent="0.35">
      <c r="A688" t="s">
        <v>831</v>
      </c>
      <c r="B688" t="s">
        <v>829</v>
      </c>
      <c r="C688" t="s">
        <v>26</v>
      </c>
      <c r="D688" t="s">
        <v>38</v>
      </c>
      <c r="E688" t="s">
        <v>3</v>
      </c>
      <c r="F688" t="s">
        <v>49</v>
      </c>
      <c r="G688">
        <v>60.92</v>
      </c>
      <c r="H688">
        <v>9</v>
      </c>
      <c r="I688">
        <v>-4.49</v>
      </c>
    </row>
    <row r="689" spans="1:9" x14ac:dyDescent="0.35">
      <c r="A689" t="s">
        <v>832</v>
      </c>
      <c r="B689" t="s">
        <v>829</v>
      </c>
      <c r="C689" t="s">
        <v>34</v>
      </c>
      <c r="D689" t="s">
        <v>38</v>
      </c>
      <c r="E689" t="s">
        <v>5</v>
      </c>
      <c r="F689" t="s">
        <v>31</v>
      </c>
      <c r="G689">
        <v>56.03</v>
      </c>
      <c r="H689">
        <v>5</v>
      </c>
      <c r="I689">
        <v>16.62</v>
      </c>
    </row>
    <row r="690" spans="1:9" x14ac:dyDescent="0.35">
      <c r="A690" t="s">
        <v>833</v>
      </c>
      <c r="B690" t="s">
        <v>829</v>
      </c>
      <c r="C690" t="s">
        <v>34</v>
      </c>
      <c r="D690" t="s">
        <v>17</v>
      </c>
      <c r="E690" t="s">
        <v>4</v>
      </c>
      <c r="F690" t="s">
        <v>39</v>
      </c>
      <c r="G690">
        <v>99.44</v>
      </c>
      <c r="H690">
        <v>6</v>
      </c>
      <c r="I690">
        <v>20.09</v>
      </c>
    </row>
    <row r="691" spans="1:9" x14ac:dyDescent="0.35">
      <c r="A691" t="s">
        <v>834</v>
      </c>
      <c r="B691" t="s">
        <v>829</v>
      </c>
      <c r="C691" t="s">
        <v>26</v>
      </c>
      <c r="D691" t="s">
        <v>17</v>
      </c>
      <c r="E691" t="s">
        <v>5</v>
      </c>
      <c r="F691" t="s">
        <v>31</v>
      </c>
      <c r="G691">
        <v>202.63</v>
      </c>
      <c r="H691">
        <v>2</v>
      </c>
      <c r="I691">
        <v>28.78</v>
      </c>
    </row>
    <row r="692" spans="1:9" x14ac:dyDescent="0.35">
      <c r="A692" t="s">
        <v>835</v>
      </c>
      <c r="B692" t="s">
        <v>836</v>
      </c>
      <c r="C692" t="s">
        <v>26</v>
      </c>
      <c r="D692" t="s">
        <v>38</v>
      </c>
      <c r="E692" t="s">
        <v>3</v>
      </c>
      <c r="F692" t="s">
        <v>18</v>
      </c>
      <c r="G692">
        <v>56.78</v>
      </c>
      <c r="H692">
        <v>8</v>
      </c>
      <c r="I692">
        <v>2.82</v>
      </c>
    </row>
    <row r="693" spans="1:9" x14ac:dyDescent="0.35">
      <c r="A693" t="s">
        <v>837</v>
      </c>
      <c r="B693" t="s">
        <v>836</v>
      </c>
      <c r="C693" t="s">
        <v>22</v>
      </c>
      <c r="D693" t="s">
        <v>38</v>
      </c>
      <c r="E693" t="s">
        <v>3</v>
      </c>
      <c r="F693" t="s">
        <v>18</v>
      </c>
      <c r="G693">
        <v>88.52</v>
      </c>
      <c r="H693">
        <v>9</v>
      </c>
      <c r="I693">
        <v>5.55</v>
      </c>
    </row>
    <row r="694" spans="1:9" x14ac:dyDescent="0.35">
      <c r="A694" t="s">
        <v>838</v>
      </c>
      <c r="B694" t="s">
        <v>836</v>
      </c>
      <c r="C694" t="s">
        <v>34</v>
      </c>
      <c r="D694" t="s">
        <v>17</v>
      </c>
      <c r="E694" t="s">
        <v>3</v>
      </c>
      <c r="F694" t="s">
        <v>18</v>
      </c>
      <c r="G694">
        <v>94.37</v>
      </c>
      <c r="H694">
        <v>2</v>
      </c>
      <c r="I694">
        <v>-15.38</v>
      </c>
    </row>
    <row r="695" spans="1:9" x14ac:dyDescent="0.35">
      <c r="A695" t="s">
        <v>839</v>
      </c>
      <c r="B695" t="s">
        <v>836</v>
      </c>
      <c r="C695" t="s">
        <v>34</v>
      </c>
      <c r="D695" t="s">
        <v>17</v>
      </c>
      <c r="E695" t="s">
        <v>5</v>
      </c>
      <c r="F695" t="s">
        <v>31</v>
      </c>
      <c r="G695">
        <v>582.34</v>
      </c>
      <c r="H695">
        <v>6</v>
      </c>
      <c r="I695">
        <v>97.61</v>
      </c>
    </row>
    <row r="696" spans="1:9" x14ac:dyDescent="0.35">
      <c r="A696" t="s">
        <v>840</v>
      </c>
      <c r="B696" t="s">
        <v>836</v>
      </c>
      <c r="C696" t="s">
        <v>34</v>
      </c>
      <c r="D696" t="s">
        <v>17</v>
      </c>
      <c r="E696" t="s">
        <v>5</v>
      </c>
      <c r="F696" t="s">
        <v>29</v>
      </c>
      <c r="G696">
        <v>484.06</v>
      </c>
      <c r="H696">
        <v>6</v>
      </c>
      <c r="I696">
        <v>178.67</v>
      </c>
    </row>
    <row r="697" spans="1:9" x14ac:dyDescent="0.35">
      <c r="A697" t="s">
        <v>841</v>
      </c>
      <c r="B697" t="s">
        <v>836</v>
      </c>
      <c r="C697" t="s">
        <v>22</v>
      </c>
      <c r="D697" t="s">
        <v>23</v>
      </c>
      <c r="E697" t="s">
        <v>4</v>
      </c>
      <c r="F697" t="s">
        <v>24</v>
      </c>
      <c r="G697">
        <v>261.52</v>
      </c>
      <c r="H697">
        <v>8</v>
      </c>
      <c r="I697">
        <v>35.39</v>
      </c>
    </row>
    <row r="698" spans="1:9" x14ac:dyDescent="0.35">
      <c r="A698" t="s">
        <v>842</v>
      </c>
      <c r="B698" t="s">
        <v>843</v>
      </c>
      <c r="C698" t="s">
        <v>34</v>
      </c>
      <c r="D698" t="s">
        <v>17</v>
      </c>
      <c r="E698" t="s">
        <v>5</v>
      </c>
      <c r="F698" t="s">
        <v>41</v>
      </c>
      <c r="G698">
        <v>61.49</v>
      </c>
      <c r="H698">
        <v>5</v>
      </c>
      <c r="I698">
        <v>1.72</v>
      </c>
    </row>
    <row r="699" spans="1:9" x14ac:dyDescent="0.35">
      <c r="A699" t="s">
        <v>844</v>
      </c>
      <c r="B699" t="s">
        <v>843</v>
      </c>
      <c r="C699" t="s">
        <v>22</v>
      </c>
      <c r="D699" t="s">
        <v>17</v>
      </c>
      <c r="E699" t="s">
        <v>3</v>
      </c>
      <c r="F699" t="s">
        <v>27</v>
      </c>
      <c r="G699">
        <v>30.57</v>
      </c>
      <c r="H699">
        <v>9</v>
      </c>
      <c r="I699">
        <v>-5.81</v>
      </c>
    </row>
    <row r="700" spans="1:9" x14ac:dyDescent="0.35">
      <c r="A700" t="s">
        <v>845</v>
      </c>
      <c r="B700" t="s">
        <v>843</v>
      </c>
      <c r="C700" t="s">
        <v>16</v>
      </c>
      <c r="D700" t="s">
        <v>23</v>
      </c>
      <c r="E700" t="s">
        <v>5</v>
      </c>
      <c r="F700" t="s">
        <v>41</v>
      </c>
      <c r="G700">
        <v>77.17</v>
      </c>
      <c r="H700">
        <v>1</v>
      </c>
      <c r="I700">
        <v>17.37</v>
      </c>
    </row>
    <row r="701" spans="1:9" x14ac:dyDescent="0.35">
      <c r="A701" t="s">
        <v>846</v>
      </c>
      <c r="B701" t="s">
        <v>843</v>
      </c>
      <c r="C701" t="s">
        <v>22</v>
      </c>
      <c r="D701" t="s">
        <v>17</v>
      </c>
      <c r="E701" t="s">
        <v>3</v>
      </c>
      <c r="F701" t="s">
        <v>27</v>
      </c>
      <c r="G701">
        <v>66.55</v>
      </c>
      <c r="H701">
        <v>9</v>
      </c>
      <c r="I701">
        <v>-11.07</v>
      </c>
    </row>
    <row r="702" spans="1:9" x14ac:dyDescent="0.35">
      <c r="A702" t="s">
        <v>847</v>
      </c>
      <c r="B702" t="s">
        <v>843</v>
      </c>
      <c r="C702" t="s">
        <v>16</v>
      </c>
      <c r="D702" t="s">
        <v>23</v>
      </c>
      <c r="E702" t="s">
        <v>3</v>
      </c>
      <c r="F702" t="s">
        <v>49</v>
      </c>
      <c r="G702">
        <v>125.76</v>
      </c>
      <c r="H702">
        <v>7</v>
      </c>
      <c r="I702">
        <v>-11.49</v>
      </c>
    </row>
    <row r="703" spans="1:9" x14ac:dyDescent="0.35">
      <c r="A703" t="s">
        <v>848</v>
      </c>
      <c r="B703" t="s">
        <v>843</v>
      </c>
      <c r="C703" t="s">
        <v>34</v>
      </c>
      <c r="D703" t="s">
        <v>17</v>
      </c>
      <c r="E703" t="s">
        <v>5</v>
      </c>
      <c r="F703" t="s">
        <v>29</v>
      </c>
      <c r="G703">
        <v>245.58</v>
      </c>
      <c r="H703">
        <v>4</v>
      </c>
      <c r="I703">
        <v>62.19</v>
      </c>
    </row>
    <row r="704" spans="1:9" x14ac:dyDescent="0.35">
      <c r="A704" t="s">
        <v>849</v>
      </c>
      <c r="B704" t="s">
        <v>850</v>
      </c>
      <c r="C704" t="s">
        <v>16</v>
      </c>
      <c r="D704" t="s">
        <v>17</v>
      </c>
      <c r="E704" t="s">
        <v>3</v>
      </c>
      <c r="F704" t="s">
        <v>49</v>
      </c>
      <c r="G704">
        <v>313.13</v>
      </c>
      <c r="H704">
        <v>3</v>
      </c>
      <c r="I704">
        <v>30.13</v>
      </c>
    </row>
    <row r="705" spans="1:9" x14ac:dyDescent="0.35">
      <c r="A705" t="s">
        <v>851</v>
      </c>
      <c r="B705" t="s">
        <v>850</v>
      </c>
      <c r="C705" t="s">
        <v>22</v>
      </c>
      <c r="D705" t="s">
        <v>23</v>
      </c>
      <c r="E705" t="s">
        <v>5</v>
      </c>
      <c r="F705" t="s">
        <v>29</v>
      </c>
      <c r="G705">
        <v>299.52</v>
      </c>
      <c r="H705">
        <v>6</v>
      </c>
      <c r="I705">
        <v>66.180000000000007</v>
      </c>
    </row>
    <row r="706" spans="1:9" x14ac:dyDescent="0.35">
      <c r="A706" t="s">
        <v>852</v>
      </c>
      <c r="B706" t="s">
        <v>850</v>
      </c>
      <c r="C706" t="s">
        <v>26</v>
      </c>
      <c r="D706" t="s">
        <v>17</v>
      </c>
      <c r="E706" t="s">
        <v>5</v>
      </c>
      <c r="F706" t="s">
        <v>29</v>
      </c>
      <c r="G706">
        <v>86.87</v>
      </c>
      <c r="H706">
        <v>1</v>
      </c>
      <c r="I706">
        <v>31.03</v>
      </c>
    </row>
    <row r="707" spans="1:9" x14ac:dyDescent="0.35">
      <c r="A707" t="s">
        <v>853</v>
      </c>
      <c r="B707" t="s">
        <v>850</v>
      </c>
      <c r="C707" t="s">
        <v>16</v>
      </c>
      <c r="D707" t="s">
        <v>38</v>
      </c>
      <c r="E707" t="s">
        <v>4</v>
      </c>
      <c r="F707" t="s">
        <v>39</v>
      </c>
      <c r="G707">
        <v>194.35</v>
      </c>
      <c r="H707">
        <v>3</v>
      </c>
      <c r="I707">
        <v>56.92</v>
      </c>
    </row>
    <row r="708" spans="1:9" x14ac:dyDescent="0.35">
      <c r="A708" t="s">
        <v>854</v>
      </c>
      <c r="B708" t="s">
        <v>850</v>
      </c>
      <c r="C708" t="s">
        <v>16</v>
      </c>
      <c r="D708" t="s">
        <v>23</v>
      </c>
      <c r="E708" t="s">
        <v>3</v>
      </c>
      <c r="F708" t="s">
        <v>27</v>
      </c>
      <c r="G708">
        <v>76.28</v>
      </c>
      <c r="H708">
        <v>2</v>
      </c>
      <c r="I708">
        <v>7.13</v>
      </c>
    </row>
    <row r="709" spans="1:9" x14ac:dyDescent="0.35">
      <c r="A709" t="s">
        <v>855</v>
      </c>
      <c r="B709" t="s">
        <v>850</v>
      </c>
      <c r="C709" t="s">
        <v>34</v>
      </c>
      <c r="D709" t="s">
        <v>17</v>
      </c>
      <c r="E709" t="s">
        <v>4</v>
      </c>
      <c r="F709" t="s">
        <v>24</v>
      </c>
      <c r="G709">
        <v>29.43</v>
      </c>
      <c r="H709">
        <v>9</v>
      </c>
      <c r="I709">
        <v>5.25</v>
      </c>
    </row>
    <row r="710" spans="1:9" x14ac:dyDescent="0.35">
      <c r="A710" t="s">
        <v>856</v>
      </c>
      <c r="B710" t="s">
        <v>857</v>
      </c>
      <c r="C710" t="s">
        <v>22</v>
      </c>
      <c r="D710" t="s">
        <v>23</v>
      </c>
      <c r="E710" t="s">
        <v>5</v>
      </c>
      <c r="F710" t="s">
        <v>31</v>
      </c>
      <c r="G710">
        <v>201.38</v>
      </c>
      <c r="H710">
        <v>3</v>
      </c>
      <c r="I710">
        <v>10.81</v>
      </c>
    </row>
    <row r="711" spans="1:9" x14ac:dyDescent="0.35">
      <c r="A711" t="s">
        <v>858</v>
      </c>
      <c r="B711" t="s">
        <v>857</v>
      </c>
      <c r="C711" t="s">
        <v>16</v>
      </c>
      <c r="D711" t="s">
        <v>17</v>
      </c>
      <c r="E711" t="s">
        <v>4</v>
      </c>
      <c r="F711" t="s">
        <v>24</v>
      </c>
      <c r="G711">
        <v>21.48</v>
      </c>
      <c r="H711">
        <v>2</v>
      </c>
      <c r="I711">
        <v>4.21</v>
      </c>
    </row>
    <row r="712" spans="1:9" x14ac:dyDescent="0.35">
      <c r="A712" t="s">
        <v>859</v>
      </c>
      <c r="B712" t="s">
        <v>857</v>
      </c>
      <c r="C712" t="s">
        <v>16</v>
      </c>
      <c r="D712" t="s">
        <v>38</v>
      </c>
      <c r="E712" t="s">
        <v>4</v>
      </c>
      <c r="F712" t="s">
        <v>24</v>
      </c>
      <c r="G712">
        <v>98.94</v>
      </c>
      <c r="H712">
        <v>4</v>
      </c>
      <c r="I712">
        <v>25.21</v>
      </c>
    </row>
    <row r="713" spans="1:9" x14ac:dyDescent="0.35">
      <c r="A713" t="s">
        <v>860</v>
      </c>
      <c r="B713" t="s">
        <v>857</v>
      </c>
      <c r="C713" t="s">
        <v>16</v>
      </c>
      <c r="D713" t="s">
        <v>17</v>
      </c>
      <c r="E713" t="s">
        <v>3</v>
      </c>
      <c r="F713" t="s">
        <v>18</v>
      </c>
      <c r="G713">
        <v>79.930000000000007</v>
      </c>
      <c r="H713">
        <v>2</v>
      </c>
      <c r="I713">
        <v>-4.6399999999999997</v>
      </c>
    </row>
    <row r="714" spans="1:9" x14ac:dyDescent="0.35">
      <c r="A714" t="s">
        <v>861</v>
      </c>
      <c r="B714" t="s">
        <v>857</v>
      </c>
      <c r="C714" t="s">
        <v>16</v>
      </c>
      <c r="D714" t="s">
        <v>23</v>
      </c>
      <c r="E714" t="s">
        <v>3</v>
      </c>
      <c r="F714" t="s">
        <v>27</v>
      </c>
      <c r="G714">
        <v>197.32</v>
      </c>
      <c r="H714">
        <v>1</v>
      </c>
      <c r="I714">
        <v>24.56</v>
      </c>
    </row>
    <row r="715" spans="1:9" x14ac:dyDescent="0.35">
      <c r="A715" t="s">
        <v>862</v>
      </c>
      <c r="B715" t="s">
        <v>857</v>
      </c>
      <c r="C715" t="s">
        <v>26</v>
      </c>
      <c r="D715" t="s">
        <v>17</v>
      </c>
      <c r="E715" t="s">
        <v>3</v>
      </c>
      <c r="F715" t="s">
        <v>18</v>
      </c>
      <c r="G715">
        <v>238.02</v>
      </c>
      <c r="H715">
        <v>6</v>
      </c>
      <c r="I715">
        <v>8.56</v>
      </c>
    </row>
    <row r="716" spans="1:9" x14ac:dyDescent="0.35">
      <c r="A716" t="s">
        <v>863</v>
      </c>
      <c r="B716" t="s">
        <v>864</v>
      </c>
      <c r="C716" t="s">
        <v>22</v>
      </c>
      <c r="D716" t="s">
        <v>17</v>
      </c>
      <c r="E716" t="s">
        <v>3</v>
      </c>
      <c r="F716" t="s">
        <v>18</v>
      </c>
      <c r="G716">
        <v>74.38</v>
      </c>
      <c r="H716">
        <v>8</v>
      </c>
      <c r="I716">
        <v>0.51</v>
      </c>
    </row>
    <row r="717" spans="1:9" x14ac:dyDescent="0.35">
      <c r="A717" t="s">
        <v>865</v>
      </c>
      <c r="B717" t="s">
        <v>864</v>
      </c>
      <c r="C717" t="s">
        <v>34</v>
      </c>
      <c r="D717" t="s">
        <v>38</v>
      </c>
      <c r="E717" t="s">
        <v>4</v>
      </c>
      <c r="F717" t="s">
        <v>20</v>
      </c>
      <c r="G717">
        <v>270.39999999999998</v>
      </c>
      <c r="H717">
        <v>2</v>
      </c>
      <c r="I717">
        <v>69.94</v>
      </c>
    </row>
    <row r="718" spans="1:9" x14ac:dyDescent="0.35">
      <c r="A718" t="s">
        <v>866</v>
      </c>
      <c r="B718" t="s">
        <v>864</v>
      </c>
      <c r="C718" t="s">
        <v>34</v>
      </c>
      <c r="D718" t="s">
        <v>38</v>
      </c>
      <c r="E718" t="s">
        <v>4</v>
      </c>
      <c r="F718" t="s">
        <v>39</v>
      </c>
      <c r="G718">
        <v>72.2</v>
      </c>
      <c r="H718">
        <v>9</v>
      </c>
      <c r="I718">
        <v>13.24</v>
      </c>
    </row>
    <row r="719" spans="1:9" x14ac:dyDescent="0.35">
      <c r="A719" t="s">
        <v>867</v>
      </c>
      <c r="B719" t="s">
        <v>864</v>
      </c>
      <c r="C719" t="s">
        <v>26</v>
      </c>
      <c r="D719" t="s">
        <v>17</v>
      </c>
      <c r="E719" t="s">
        <v>4</v>
      </c>
      <c r="F719" t="s">
        <v>39</v>
      </c>
      <c r="G719">
        <v>108.68</v>
      </c>
      <c r="H719">
        <v>3</v>
      </c>
      <c r="I719">
        <v>-10.79</v>
      </c>
    </row>
    <row r="720" spans="1:9" x14ac:dyDescent="0.35">
      <c r="A720" t="s">
        <v>868</v>
      </c>
      <c r="B720" t="s">
        <v>864</v>
      </c>
      <c r="C720" t="s">
        <v>22</v>
      </c>
      <c r="D720" t="s">
        <v>17</v>
      </c>
      <c r="E720" t="s">
        <v>5</v>
      </c>
      <c r="F720" t="s">
        <v>29</v>
      </c>
      <c r="G720">
        <v>214.75</v>
      </c>
      <c r="H720">
        <v>8</v>
      </c>
      <c r="I720">
        <v>42.97</v>
      </c>
    </row>
    <row r="721" spans="1:9" x14ac:dyDescent="0.35">
      <c r="A721" t="s">
        <v>869</v>
      </c>
      <c r="B721" t="s">
        <v>864</v>
      </c>
      <c r="C721" t="s">
        <v>16</v>
      </c>
      <c r="D721" t="s">
        <v>38</v>
      </c>
      <c r="E721" t="s">
        <v>4</v>
      </c>
      <c r="F721" t="s">
        <v>39</v>
      </c>
      <c r="G721">
        <v>197.1</v>
      </c>
      <c r="H721">
        <v>8</v>
      </c>
      <c r="I721">
        <v>53.16</v>
      </c>
    </row>
    <row r="722" spans="1:9" x14ac:dyDescent="0.35">
      <c r="A722" t="s">
        <v>870</v>
      </c>
      <c r="B722" t="s">
        <v>871</v>
      </c>
      <c r="C722" t="s">
        <v>26</v>
      </c>
      <c r="D722" t="s">
        <v>38</v>
      </c>
      <c r="E722" t="s">
        <v>4</v>
      </c>
      <c r="F722" t="s">
        <v>24</v>
      </c>
      <c r="G722">
        <v>675.73</v>
      </c>
      <c r="H722">
        <v>3</v>
      </c>
      <c r="I722">
        <v>46.79</v>
      </c>
    </row>
    <row r="723" spans="1:9" x14ac:dyDescent="0.35">
      <c r="A723" t="s">
        <v>872</v>
      </c>
      <c r="B723" t="s">
        <v>871</v>
      </c>
      <c r="C723" t="s">
        <v>22</v>
      </c>
      <c r="D723" t="s">
        <v>17</v>
      </c>
      <c r="E723" t="s">
        <v>5</v>
      </c>
      <c r="F723" t="s">
        <v>31</v>
      </c>
      <c r="G723">
        <v>58.27</v>
      </c>
      <c r="H723">
        <v>3</v>
      </c>
      <c r="I723">
        <v>13.27</v>
      </c>
    </row>
    <row r="724" spans="1:9" x14ac:dyDescent="0.35">
      <c r="A724" t="s">
        <v>873</v>
      </c>
      <c r="B724" t="s">
        <v>871</v>
      </c>
      <c r="C724" t="s">
        <v>16</v>
      </c>
      <c r="D724" t="s">
        <v>17</v>
      </c>
      <c r="E724" t="s">
        <v>5</v>
      </c>
      <c r="F724" t="s">
        <v>29</v>
      </c>
      <c r="G724">
        <v>182.85</v>
      </c>
      <c r="H724">
        <v>6</v>
      </c>
      <c r="I724">
        <v>26.61</v>
      </c>
    </row>
    <row r="725" spans="1:9" x14ac:dyDescent="0.35">
      <c r="A725" t="s">
        <v>874</v>
      </c>
      <c r="B725" t="s">
        <v>871</v>
      </c>
      <c r="C725" t="s">
        <v>26</v>
      </c>
      <c r="D725" t="s">
        <v>17</v>
      </c>
      <c r="E725" t="s">
        <v>4</v>
      </c>
      <c r="F725" t="s">
        <v>24</v>
      </c>
      <c r="G725">
        <v>161.12</v>
      </c>
      <c r="H725">
        <v>1</v>
      </c>
      <c r="I725">
        <v>52.91</v>
      </c>
    </row>
    <row r="726" spans="1:9" x14ac:dyDescent="0.35">
      <c r="A726" t="s">
        <v>875</v>
      </c>
      <c r="B726" t="s">
        <v>871</v>
      </c>
      <c r="C726" t="s">
        <v>22</v>
      </c>
      <c r="D726" t="s">
        <v>38</v>
      </c>
      <c r="E726" t="s">
        <v>3</v>
      </c>
      <c r="F726" t="s">
        <v>18</v>
      </c>
      <c r="G726">
        <v>389.94</v>
      </c>
      <c r="H726">
        <v>4</v>
      </c>
      <c r="I726">
        <v>46.07</v>
      </c>
    </row>
    <row r="727" spans="1:9" x14ac:dyDescent="0.35">
      <c r="A727" t="s">
        <v>876</v>
      </c>
      <c r="B727" t="s">
        <v>871</v>
      </c>
      <c r="C727" t="s">
        <v>34</v>
      </c>
      <c r="D727" t="s">
        <v>17</v>
      </c>
      <c r="E727" t="s">
        <v>4</v>
      </c>
      <c r="F727" t="s">
        <v>20</v>
      </c>
      <c r="G727">
        <v>45.5</v>
      </c>
      <c r="H727">
        <v>1</v>
      </c>
      <c r="I727">
        <v>2.8</v>
      </c>
    </row>
    <row r="728" spans="1:9" x14ac:dyDescent="0.35">
      <c r="A728" t="s">
        <v>877</v>
      </c>
      <c r="B728" t="s">
        <v>878</v>
      </c>
      <c r="C728" t="s">
        <v>34</v>
      </c>
      <c r="D728" t="s">
        <v>17</v>
      </c>
      <c r="E728" t="s">
        <v>5</v>
      </c>
      <c r="F728" t="s">
        <v>31</v>
      </c>
      <c r="G728">
        <v>229.03</v>
      </c>
      <c r="H728">
        <v>3</v>
      </c>
      <c r="I728">
        <v>60.63</v>
      </c>
    </row>
    <row r="729" spans="1:9" x14ac:dyDescent="0.35">
      <c r="A729" t="s">
        <v>879</v>
      </c>
      <c r="B729" t="s">
        <v>878</v>
      </c>
      <c r="C729" t="s">
        <v>22</v>
      </c>
      <c r="D729" t="s">
        <v>23</v>
      </c>
      <c r="E729" t="s">
        <v>4</v>
      </c>
      <c r="F729" t="s">
        <v>39</v>
      </c>
      <c r="G729">
        <v>145.99</v>
      </c>
      <c r="H729">
        <v>9</v>
      </c>
      <c r="I729">
        <v>11.96</v>
      </c>
    </row>
    <row r="730" spans="1:9" x14ac:dyDescent="0.35">
      <c r="A730" t="s">
        <v>880</v>
      </c>
      <c r="B730" t="s">
        <v>878</v>
      </c>
      <c r="C730" t="s">
        <v>34</v>
      </c>
      <c r="D730" t="s">
        <v>17</v>
      </c>
      <c r="E730" t="s">
        <v>5</v>
      </c>
      <c r="F730" t="s">
        <v>31</v>
      </c>
      <c r="G730">
        <v>68.17</v>
      </c>
      <c r="H730">
        <v>5</v>
      </c>
      <c r="I730">
        <v>21.23</v>
      </c>
    </row>
    <row r="731" spans="1:9" x14ac:dyDescent="0.35">
      <c r="A731" t="s">
        <v>881</v>
      </c>
      <c r="B731" t="s">
        <v>878</v>
      </c>
      <c r="C731" t="s">
        <v>22</v>
      </c>
      <c r="D731" t="s">
        <v>17</v>
      </c>
      <c r="E731" t="s">
        <v>5</v>
      </c>
      <c r="F731" t="s">
        <v>31</v>
      </c>
      <c r="G731">
        <v>116.49</v>
      </c>
      <c r="H731">
        <v>5</v>
      </c>
      <c r="I731">
        <v>35.06</v>
      </c>
    </row>
    <row r="732" spans="1:9" x14ac:dyDescent="0.35">
      <c r="A732" t="s">
        <v>882</v>
      </c>
      <c r="B732" t="s">
        <v>878</v>
      </c>
      <c r="C732" t="s">
        <v>16</v>
      </c>
      <c r="D732" t="s">
        <v>17</v>
      </c>
      <c r="E732" t="s">
        <v>5</v>
      </c>
      <c r="F732" t="s">
        <v>29</v>
      </c>
      <c r="G732">
        <v>80.92</v>
      </c>
      <c r="H732">
        <v>4</v>
      </c>
      <c r="I732">
        <v>26.8</v>
      </c>
    </row>
    <row r="733" spans="1:9" x14ac:dyDescent="0.35">
      <c r="A733" t="s">
        <v>883</v>
      </c>
      <c r="B733" t="s">
        <v>878</v>
      </c>
      <c r="C733" t="s">
        <v>22</v>
      </c>
      <c r="D733" t="s">
        <v>17</v>
      </c>
      <c r="E733" t="s">
        <v>4</v>
      </c>
      <c r="F733" t="s">
        <v>20</v>
      </c>
      <c r="G733">
        <v>149.88</v>
      </c>
      <c r="H733">
        <v>3</v>
      </c>
      <c r="I733">
        <v>27.46</v>
      </c>
    </row>
    <row r="734" spans="1:9" x14ac:dyDescent="0.35">
      <c r="A734" t="s">
        <v>884</v>
      </c>
      <c r="B734" t="s">
        <v>885</v>
      </c>
      <c r="C734" t="s">
        <v>16</v>
      </c>
      <c r="D734" t="s">
        <v>17</v>
      </c>
      <c r="E734" t="s">
        <v>4</v>
      </c>
      <c r="F734" t="s">
        <v>20</v>
      </c>
      <c r="G734">
        <v>349.73</v>
      </c>
      <c r="H734">
        <v>5</v>
      </c>
      <c r="I734">
        <v>155.12</v>
      </c>
    </row>
    <row r="735" spans="1:9" x14ac:dyDescent="0.35">
      <c r="A735" t="s">
        <v>886</v>
      </c>
      <c r="B735" t="s">
        <v>885</v>
      </c>
      <c r="C735" t="s">
        <v>26</v>
      </c>
      <c r="D735" t="s">
        <v>23</v>
      </c>
      <c r="E735" t="s">
        <v>3</v>
      </c>
      <c r="F735" t="s">
        <v>18</v>
      </c>
      <c r="G735">
        <v>146.35</v>
      </c>
      <c r="H735">
        <v>4</v>
      </c>
      <c r="I735">
        <v>-22.36</v>
      </c>
    </row>
    <row r="736" spans="1:9" x14ac:dyDescent="0.35">
      <c r="A736" t="s">
        <v>887</v>
      </c>
      <c r="B736" t="s">
        <v>885</v>
      </c>
      <c r="C736" t="s">
        <v>22</v>
      </c>
      <c r="D736" t="s">
        <v>17</v>
      </c>
      <c r="E736" t="s">
        <v>3</v>
      </c>
      <c r="F736" t="s">
        <v>49</v>
      </c>
      <c r="G736">
        <v>169.84</v>
      </c>
      <c r="H736">
        <v>8</v>
      </c>
      <c r="I736">
        <v>-37.54</v>
      </c>
    </row>
    <row r="737" spans="1:9" x14ac:dyDescent="0.35">
      <c r="A737" t="s">
        <v>888</v>
      </c>
      <c r="B737" t="s">
        <v>885</v>
      </c>
      <c r="C737" t="s">
        <v>26</v>
      </c>
      <c r="D737" t="s">
        <v>23</v>
      </c>
      <c r="E737" t="s">
        <v>4</v>
      </c>
      <c r="F737" t="s">
        <v>39</v>
      </c>
      <c r="G737">
        <v>129.69999999999999</v>
      </c>
      <c r="H737">
        <v>4</v>
      </c>
      <c r="I737">
        <v>14.36</v>
      </c>
    </row>
    <row r="738" spans="1:9" x14ac:dyDescent="0.35">
      <c r="A738" t="s">
        <v>889</v>
      </c>
      <c r="B738" t="s">
        <v>885</v>
      </c>
      <c r="C738" t="s">
        <v>34</v>
      </c>
      <c r="D738" t="s">
        <v>38</v>
      </c>
      <c r="E738" t="s">
        <v>3</v>
      </c>
      <c r="F738" t="s">
        <v>49</v>
      </c>
      <c r="G738">
        <v>27.88</v>
      </c>
      <c r="H738">
        <v>8</v>
      </c>
      <c r="I738">
        <v>-5.77</v>
      </c>
    </row>
    <row r="739" spans="1:9" x14ac:dyDescent="0.35">
      <c r="A739" t="s">
        <v>890</v>
      </c>
      <c r="B739" t="s">
        <v>885</v>
      </c>
      <c r="C739" t="s">
        <v>16</v>
      </c>
      <c r="D739" t="s">
        <v>23</v>
      </c>
      <c r="E739" t="s">
        <v>4</v>
      </c>
      <c r="F739" t="s">
        <v>20</v>
      </c>
      <c r="G739">
        <v>59.76</v>
      </c>
      <c r="H739">
        <v>6</v>
      </c>
      <c r="I739">
        <v>0.05</v>
      </c>
    </row>
    <row r="740" spans="1:9" x14ac:dyDescent="0.35">
      <c r="A740" t="s">
        <v>891</v>
      </c>
      <c r="B740" t="s">
        <v>892</v>
      </c>
      <c r="C740" t="s">
        <v>22</v>
      </c>
      <c r="D740" t="s">
        <v>17</v>
      </c>
      <c r="E740" t="s">
        <v>3</v>
      </c>
      <c r="F740" t="s">
        <v>18</v>
      </c>
      <c r="G740">
        <v>121.59</v>
      </c>
      <c r="H740">
        <v>5</v>
      </c>
      <c r="I740">
        <v>-18.25</v>
      </c>
    </row>
    <row r="741" spans="1:9" x14ac:dyDescent="0.35">
      <c r="A741" t="s">
        <v>893</v>
      </c>
      <c r="B741" t="s">
        <v>892</v>
      </c>
      <c r="C741" t="s">
        <v>26</v>
      </c>
      <c r="D741" t="s">
        <v>17</v>
      </c>
      <c r="E741" t="s">
        <v>3</v>
      </c>
      <c r="F741" t="s">
        <v>18</v>
      </c>
      <c r="G741">
        <v>75.709999999999994</v>
      </c>
      <c r="H741">
        <v>4</v>
      </c>
      <c r="I741">
        <v>-10.77</v>
      </c>
    </row>
    <row r="742" spans="1:9" x14ac:dyDescent="0.35">
      <c r="A742" t="s">
        <v>894</v>
      </c>
      <c r="B742" t="s">
        <v>892</v>
      </c>
      <c r="C742" t="s">
        <v>16</v>
      </c>
      <c r="D742" t="s">
        <v>17</v>
      </c>
      <c r="E742" t="s">
        <v>3</v>
      </c>
      <c r="F742" t="s">
        <v>49</v>
      </c>
      <c r="G742">
        <v>50.09</v>
      </c>
      <c r="H742">
        <v>4</v>
      </c>
      <c r="I742">
        <v>-7.29</v>
      </c>
    </row>
    <row r="743" spans="1:9" x14ac:dyDescent="0.35">
      <c r="A743" t="s">
        <v>895</v>
      </c>
      <c r="B743" t="s">
        <v>892</v>
      </c>
      <c r="C743" t="s">
        <v>16</v>
      </c>
      <c r="D743" t="s">
        <v>17</v>
      </c>
      <c r="E743" t="s">
        <v>3</v>
      </c>
      <c r="F743" t="s">
        <v>18</v>
      </c>
      <c r="G743">
        <v>125.22</v>
      </c>
      <c r="H743">
        <v>4</v>
      </c>
      <c r="I743">
        <v>0.23</v>
      </c>
    </row>
    <row r="744" spans="1:9" x14ac:dyDescent="0.35">
      <c r="A744" t="s">
        <v>896</v>
      </c>
      <c r="B744" t="s">
        <v>892</v>
      </c>
      <c r="C744" t="s">
        <v>34</v>
      </c>
      <c r="D744" t="s">
        <v>17</v>
      </c>
      <c r="E744" t="s">
        <v>4</v>
      </c>
      <c r="F744" t="s">
        <v>24</v>
      </c>
      <c r="G744">
        <v>78.47</v>
      </c>
      <c r="H744">
        <v>9</v>
      </c>
      <c r="I744">
        <v>7.8</v>
      </c>
    </row>
    <row r="745" spans="1:9" x14ac:dyDescent="0.35">
      <c r="A745" t="s">
        <v>897</v>
      </c>
      <c r="B745" t="s">
        <v>892</v>
      </c>
      <c r="C745" t="s">
        <v>34</v>
      </c>
      <c r="D745" t="s">
        <v>23</v>
      </c>
      <c r="E745" t="s">
        <v>3</v>
      </c>
      <c r="F745" t="s">
        <v>27</v>
      </c>
      <c r="G745">
        <v>64.78</v>
      </c>
      <c r="H745">
        <v>4</v>
      </c>
      <c r="I745">
        <v>-4.4000000000000004</v>
      </c>
    </row>
    <row r="746" spans="1:9" x14ac:dyDescent="0.35">
      <c r="A746" t="s">
        <v>898</v>
      </c>
      <c r="B746" t="s">
        <v>899</v>
      </c>
      <c r="C746" t="s">
        <v>16</v>
      </c>
      <c r="D746" t="s">
        <v>17</v>
      </c>
      <c r="E746" t="s">
        <v>5</v>
      </c>
      <c r="F746" t="s">
        <v>29</v>
      </c>
      <c r="G746">
        <v>113.54</v>
      </c>
      <c r="H746">
        <v>9</v>
      </c>
      <c r="I746">
        <v>38.54</v>
      </c>
    </row>
    <row r="747" spans="1:9" x14ac:dyDescent="0.35">
      <c r="A747" t="s">
        <v>900</v>
      </c>
      <c r="B747" t="s">
        <v>899</v>
      </c>
      <c r="C747" t="s">
        <v>16</v>
      </c>
      <c r="D747" t="s">
        <v>17</v>
      </c>
      <c r="E747" t="s">
        <v>4</v>
      </c>
      <c r="F747" t="s">
        <v>24</v>
      </c>
      <c r="G747">
        <v>41.46</v>
      </c>
      <c r="H747">
        <v>6</v>
      </c>
      <c r="I747">
        <v>3.04</v>
      </c>
    </row>
    <row r="748" spans="1:9" x14ac:dyDescent="0.35">
      <c r="A748" t="s">
        <v>901</v>
      </c>
      <c r="B748" t="s">
        <v>899</v>
      </c>
      <c r="C748" t="s">
        <v>22</v>
      </c>
      <c r="D748" t="s">
        <v>17</v>
      </c>
      <c r="E748" t="s">
        <v>3</v>
      </c>
      <c r="F748" t="s">
        <v>27</v>
      </c>
      <c r="G748">
        <v>414.13</v>
      </c>
      <c r="H748">
        <v>7</v>
      </c>
      <c r="I748">
        <v>-31.66</v>
      </c>
    </row>
    <row r="749" spans="1:9" x14ac:dyDescent="0.35">
      <c r="A749" t="s">
        <v>902</v>
      </c>
      <c r="B749" t="s">
        <v>899</v>
      </c>
      <c r="C749" t="s">
        <v>16</v>
      </c>
      <c r="D749" t="s">
        <v>23</v>
      </c>
      <c r="E749" t="s">
        <v>3</v>
      </c>
      <c r="F749" t="s">
        <v>49</v>
      </c>
      <c r="G749">
        <v>323.39999999999998</v>
      </c>
      <c r="H749">
        <v>3</v>
      </c>
      <c r="I749">
        <v>-4.34</v>
      </c>
    </row>
    <row r="750" spans="1:9" x14ac:dyDescent="0.35">
      <c r="A750" t="s">
        <v>903</v>
      </c>
      <c r="B750" t="s">
        <v>899</v>
      </c>
      <c r="C750" t="s">
        <v>22</v>
      </c>
      <c r="D750" t="s">
        <v>17</v>
      </c>
      <c r="E750" t="s">
        <v>4</v>
      </c>
      <c r="F750" t="s">
        <v>20</v>
      </c>
      <c r="G750">
        <v>204.46</v>
      </c>
      <c r="H750">
        <v>8</v>
      </c>
      <c r="I750">
        <v>-9.0299999999999994</v>
      </c>
    </row>
    <row r="751" spans="1:9" x14ac:dyDescent="0.35">
      <c r="A751" t="s">
        <v>904</v>
      </c>
      <c r="B751" t="s">
        <v>899</v>
      </c>
      <c r="C751" t="s">
        <v>16</v>
      </c>
      <c r="D751" t="s">
        <v>23</v>
      </c>
      <c r="E751" t="s">
        <v>4</v>
      </c>
      <c r="F751" t="s">
        <v>20</v>
      </c>
      <c r="G751">
        <v>36.840000000000003</v>
      </c>
      <c r="H751">
        <v>3</v>
      </c>
      <c r="I751">
        <v>-3.26</v>
      </c>
    </row>
    <row r="752" spans="1:9" x14ac:dyDescent="0.35">
      <c r="A752" t="s">
        <v>905</v>
      </c>
      <c r="B752" t="s">
        <v>906</v>
      </c>
      <c r="C752" t="s">
        <v>34</v>
      </c>
      <c r="D752" t="s">
        <v>17</v>
      </c>
      <c r="E752" t="s">
        <v>5</v>
      </c>
      <c r="F752" t="s">
        <v>41</v>
      </c>
      <c r="G752">
        <v>244.33</v>
      </c>
      <c r="H752">
        <v>1</v>
      </c>
      <c r="I752">
        <v>69.540000000000006</v>
      </c>
    </row>
    <row r="753" spans="1:9" x14ac:dyDescent="0.35">
      <c r="A753" t="s">
        <v>907</v>
      </c>
      <c r="B753" t="s">
        <v>906</v>
      </c>
      <c r="C753" t="s">
        <v>22</v>
      </c>
      <c r="D753" t="s">
        <v>38</v>
      </c>
      <c r="E753" t="s">
        <v>4</v>
      </c>
      <c r="F753" t="s">
        <v>24</v>
      </c>
      <c r="G753">
        <v>267.51</v>
      </c>
      <c r="H753">
        <v>5</v>
      </c>
      <c r="I753">
        <v>53.29</v>
      </c>
    </row>
    <row r="754" spans="1:9" x14ac:dyDescent="0.35">
      <c r="A754" t="s">
        <v>908</v>
      </c>
      <c r="B754" t="s">
        <v>906</v>
      </c>
      <c r="C754" t="s">
        <v>26</v>
      </c>
      <c r="D754" t="s">
        <v>38</v>
      </c>
      <c r="E754" t="s">
        <v>4</v>
      </c>
      <c r="F754" t="s">
        <v>24</v>
      </c>
      <c r="G754">
        <v>239</v>
      </c>
      <c r="H754">
        <v>2</v>
      </c>
      <c r="I754">
        <v>85.18</v>
      </c>
    </row>
    <row r="755" spans="1:9" x14ac:dyDescent="0.35">
      <c r="A755" t="s">
        <v>909</v>
      </c>
      <c r="B755" t="s">
        <v>906</v>
      </c>
      <c r="C755" t="s">
        <v>34</v>
      </c>
      <c r="D755" t="s">
        <v>17</v>
      </c>
      <c r="E755" t="s">
        <v>3</v>
      </c>
      <c r="F755" t="s">
        <v>18</v>
      </c>
      <c r="G755">
        <v>38.15</v>
      </c>
      <c r="H755">
        <v>6</v>
      </c>
      <c r="I755">
        <v>-1.3</v>
      </c>
    </row>
    <row r="756" spans="1:9" x14ac:dyDescent="0.35">
      <c r="A756" t="s">
        <v>910</v>
      </c>
      <c r="B756" t="s">
        <v>906</v>
      </c>
      <c r="C756" t="s">
        <v>22</v>
      </c>
      <c r="D756" t="s">
        <v>17</v>
      </c>
      <c r="E756" t="s">
        <v>5</v>
      </c>
      <c r="F756" t="s">
        <v>31</v>
      </c>
      <c r="G756">
        <v>174.88</v>
      </c>
      <c r="H756">
        <v>9</v>
      </c>
      <c r="I756">
        <v>58.06</v>
      </c>
    </row>
    <row r="757" spans="1:9" x14ac:dyDescent="0.35">
      <c r="A757" t="s">
        <v>911</v>
      </c>
      <c r="B757" t="s">
        <v>906</v>
      </c>
      <c r="C757" t="s">
        <v>22</v>
      </c>
      <c r="D757" t="s">
        <v>17</v>
      </c>
      <c r="E757" t="s">
        <v>4</v>
      </c>
      <c r="F757" t="s">
        <v>39</v>
      </c>
      <c r="G757">
        <v>289.66000000000003</v>
      </c>
      <c r="H757">
        <v>1</v>
      </c>
      <c r="I757">
        <v>37.79</v>
      </c>
    </row>
    <row r="758" spans="1:9" x14ac:dyDescent="0.35">
      <c r="A758" t="s">
        <v>912</v>
      </c>
      <c r="B758" t="s">
        <v>913</v>
      </c>
      <c r="C758" t="s">
        <v>26</v>
      </c>
      <c r="D758" t="s">
        <v>17</v>
      </c>
      <c r="E758" t="s">
        <v>4</v>
      </c>
      <c r="F758" t="s">
        <v>39</v>
      </c>
      <c r="G758">
        <v>149.18</v>
      </c>
      <c r="H758">
        <v>4</v>
      </c>
      <c r="I758">
        <v>26.81</v>
      </c>
    </row>
    <row r="759" spans="1:9" x14ac:dyDescent="0.35">
      <c r="A759" t="s">
        <v>914</v>
      </c>
      <c r="B759" t="s">
        <v>913</v>
      </c>
      <c r="C759" t="s">
        <v>22</v>
      </c>
      <c r="D759" t="s">
        <v>23</v>
      </c>
      <c r="E759" t="s">
        <v>3</v>
      </c>
      <c r="F759" t="s">
        <v>18</v>
      </c>
      <c r="G759">
        <v>175.94</v>
      </c>
      <c r="H759">
        <v>1</v>
      </c>
      <c r="I759">
        <v>20.54</v>
      </c>
    </row>
    <row r="760" spans="1:9" x14ac:dyDescent="0.35">
      <c r="A760" t="s">
        <v>915</v>
      </c>
      <c r="B760" t="s">
        <v>913</v>
      </c>
      <c r="C760" t="s">
        <v>16</v>
      </c>
      <c r="D760" t="s">
        <v>38</v>
      </c>
      <c r="E760" t="s">
        <v>4</v>
      </c>
      <c r="F760" t="s">
        <v>39</v>
      </c>
      <c r="G760">
        <v>111.97</v>
      </c>
      <c r="H760">
        <v>1</v>
      </c>
      <c r="I760">
        <v>-6.99</v>
      </c>
    </row>
    <row r="761" spans="1:9" x14ac:dyDescent="0.35">
      <c r="A761" t="s">
        <v>916</v>
      </c>
      <c r="B761" t="s">
        <v>913</v>
      </c>
      <c r="C761" t="s">
        <v>26</v>
      </c>
      <c r="D761" t="s">
        <v>23</v>
      </c>
      <c r="E761" t="s">
        <v>4</v>
      </c>
      <c r="F761" t="s">
        <v>39</v>
      </c>
      <c r="G761">
        <v>132.84</v>
      </c>
      <c r="H761">
        <v>8</v>
      </c>
      <c r="I761">
        <v>25.42</v>
      </c>
    </row>
    <row r="762" spans="1:9" x14ac:dyDescent="0.35">
      <c r="A762" t="s">
        <v>917</v>
      </c>
      <c r="B762" t="s">
        <v>913</v>
      </c>
      <c r="C762" t="s">
        <v>34</v>
      </c>
      <c r="D762" t="s">
        <v>38</v>
      </c>
      <c r="E762" t="s">
        <v>5</v>
      </c>
      <c r="F762" t="s">
        <v>29</v>
      </c>
      <c r="G762">
        <v>25.25</v>
      </c>
      <c r="H762">
        <v>2</v>
      </c>
      <c r="I762">
        <v>11.7</v>
      </c>
    </row>
    <row r="763" spans="1:9" x14ac:dyDescent="0.35">
      <c r="A763" t="s">
        <v>918</v>
      </c>
      <c r="B763" t="s">
        <v>913</v>
      </c>
      <c r="C763" t="s">
        <v>34</v>
      </c>
      <c r="D763" t="s">
        <v>17</v>
      </c>
      <c r="E763" t="s">
        <v>3</v>
      </c>
      <c r="F763" t="s">
        <v>49</v>
      </c>
      <c r="G763">
        <v>172.82</v>
      </c>
      <c r="H763">
        <v>1</v>
      </c>
      <c r="I763">
        <v>-3.77</v>
      </c>
    </row>
    <row r="764" spans="1:9" x14ac:dyDescent="0.35">
      <c r="A764" t="s">
        <v>919</v>
      </c>
      <c r="B764" t="s">
        <v>920</v>
      </c>
      <c r="C764" t="s">
        <v>16</v>
      </c>
      <c r="D764" t="s">
        <v>17</v>
      </c>
      <c r="E764" t="s">
        <v>5</v>
      </c>
      <c r="F764" t="s">
        <v>41</v>
      </c>
      <c r="G764">
        <v>32.74</v>
      </c>
      <c r="H764">
        <v>8</v>
      </c>
      <c r="I764">
        <v>13.59</v>
      </c>
    </row>
    <row r="765" spans="1:9" x14ac:dyDescent="0.35">
      <c r="A765" t="s">
        <v>921</v>
      </c>
      <c r="B765" t="s">
        <v>920</v>
      </c>
      <c r="C765" t="s">
        <v>34</v>
      </c>
      <c r="D765" t="s">
        <v>23</v>
      </c>
      <c r="E765" t="s">
        <v>4</v>
      </c>
      <c r="F765" t="s">
        <v>39</v>
      </c>
      <c r="G765">
        <v>105.64</v>
      </c>
      <c r="H765">
        <v>4</v>
      </c>
      <c r="I765">
        <v>9.1999999999999993</v>
      </c>
    </row>
    <row r="766" spans="1:9" x14ac:dyDescent="0.35">
      <c r="A766" t="s">
        <v>922</v>
      </c>
      <c r="B766" t="s">
        <v>920</v>
      </c>
      <c r="C766" t="s">
        <v>22</v>
      </c>
      <c r="D766" t="s">
        <v>17</v>
      </c>
      <c r="E766" t="s">
        <v>5</v>
      </c>
      <c r="F766" t="s">
        <v>31</v>
      </c>
      <c r="G766">
        <v>71.94</v>
      </c>
      <c r="H766">
        <v>3</v>
      </c>
      <c r="I766">
        <v>17.75</v>
      </c>
    </row>
    <row r="767" spans="1:9" x14ac:dyDescent="0.35">
      <c r="A767" t="s">
        <v>923</v>
      </c>
      <c r="B767" t="s">
        <v>920</v>
      </c>
      <c r="C767" t="s">
        <v>22</v>
      </c>
      <c r="D767" t="s">
        <v>23</v>
      </c>
      <c r="E767" t="s">
        <v>3</v>
      </c>
      <c r="F767" t="s">
        <v>18</v>
      </c>
      <c r="G767">
        <v>138.26</v>
      </c>
      <c r="H767">
        <v>4</v>
      </c>
      <c r="I767">
        <v>-6.45</v>
      </c>
    </row>
    <row r="768" spans="1:9" x14ac:dyDescent="0.35">
      <c r="A768" t="s">
        <v>924</v>
      </c>
      <c r="B768" t="s">
        <v>920</v>
      </c>
      <c r="C768" t="s">
        <v>16</v>
      </c>
      <c r="D768" t="s">
        <v>17</v>
      </c>
      <c r="E768" t="s">
        <v>4</v>
      </c>
      <c r="F768" t="s">
        <v>20</v>
      </c>
      <c r="G768">
        <v>41.48</v>
      </c>
      <c r="H768">
        <v>5</v>
      </c>
      <c r="I768">
        <v>-2.98</v>
      </c>
    </row>
    <row r="769" spans="1:9" x14ac:dyDescent="0.35">
      <c r="A769" t="s">
        <v>925</v>
      </c>
      <c r="B769" t="s">
        <v>920</v>
      </c>
      <c r="C769" t="s">
        <v>34</v>
      </c>
      <c r="D769" t="s">
        <v>17</v>
      </c>
      <c r="E769" t="s">
        <v>4</v>
      </c>
      <c r="F769" t="s">
        <v>20</v>
      </c>
      <c r="G769">
        <v>196.47</v>
      </c>
      <c r="H769">
        <v>1</v>
      </c>
      <c r="I769">
        <v>6.52</v>
      </c>
    </row>
    <row r="770" spans="1:9" x14ac:dyDescent="0.35">
      <c r="A770" t="s">
        <v>926</v>
      </c>
      <c r="B770" t="s">
        <v>927</v>
      </c>
      <c r="C770" t="s">
        <v>34</v>
      </c>
      <c r="D770" t="s">
        <v>38</v>
      </c>
      <c r="E770" t="s">
        <v>3</v>
      </c>
      <c r="F770" t="s">
        <v>27</v>
      </c>
      <c r="G770">
        <v>257.72000000000003</v>
      </c>
      <c r="H770">
        <v>1</v>
      </c>
      <c r="I770">
        <v>-41.15</v>
      </c>
    </row>
    <row r="771" spans="1:9" x14ac:dyDescent="0.35">
      <c r="A771" t="s">
        <v>928</v>
      </c>
      <c r="B771" t="s">
        <v>927</v>
      </c>
      <c r="C771" t="s">
        <v>16</v>
      </c>
      <c r="D771" t="s">
        <v>17</v>
      </c>
      <c r="E771" t="s">
        <v>4</v>
      </c>
      <c r="F771" t="s">
        <v>24</v>
      </c>
      <c r="G771">
        <v>46.75</v>
      </c>
      <c r="H771">
        <v>3</v>
      </c>
      <c r="I771">
        <v>10.86</v>
      </c>
    </row>
    <row r="772" spans="1:9" x14ac:dyDescent="0.35">
      <c r="A772" t="s">
        <v>929</v>
      </c>
      <c r="B772" t="s">
        <v>927</v>
      </c>
      <c r="C772" t="s">
        <v>26</v>
      </c>
      <c r="D772" t="s">
        <v>38</v>
      </c>
      <c r="E772" t="s">
        <v>5</v>
      </c>
      <c r="F772" t="s">
        <v>29</v>
      </c>
      <c r="G772">
        <v>36.520000000000003</v>
      </c>
      <c r="H772">
        <v>6</v>
      </c>
      <c r="I772">
        <v>12.32</v>
      </c>
    </row>
    <row r="773" spans="1:9" x14ac:dyDescent="0.35">
      <c r="A773" t="s">
        <v>930</v>
      </c>
      <c r="B773" t="s">
        <v>927</v>
      </c>
      <c r="C773" t="s">
        <v>34</v>
      </c>
      <c r="D773" t="s">
        <v>38</v>
      </c>
      <c r="E773" t="s">
        <v>4</v>
      </c>
      <c r="F773" t="s">
        <v>24</v>
      </c>
      <c r="G773">
        <v>43.59</v>
      </c>
      <c r="H773">
        <v>1</v>
      </c>
      <c r="I773">
        <v>7.95</v>
      </c>
    </row>
    <row r="774" spans="1:9" x14ac:dyDescent="0.35">
      <c r="A774" t="s">
        <v>931</v>
      </c>
      <c r="B774" t="s">
        <v>927</v>
      </c>
      <c r="C774" t="s">
        <v>26</v>
      </c>
      <c r="D774" t="s">
        <v>23</v>
      </c>
      <c r="E774" t="s">
        <v>5</v>
      </c>
      <c r="F774" t="s">
        <v>29</v>
      </c>
      <c r="G774">
        <v>334.49</v>
      </c>
      <c r="H774">
        <v>2</v>
      </c>
      <c r="I774">
        <v>111.19</v>
      </c>
    </row>
    <row r="775" spans="1:9" x14ac:dyDescent="0.35">
      <c r="A775" t="s">
        <v>932</v>
      </c>
      <c r="B775" t="s">
        <v>927</v>
      </c>
      <c r="C775" t="s">
        <v>34</v>
      </c>
      <c r="D775" t="s">
        <v>23</v>
      </c>
      <c r="E775" t="s">
        <v>3</v>
      </c>
      <c r="F775" t="s">
        <v>27</v>
      </c>
      <c r="G775">
        <v>132.68</v>
      </c>
      <c r="H775">
        <v>7</v>
      </c>
      <c r="I775">
        <v>-8.81</v>
      </c>
    </row>
    <row r="776" spans="1:9" x14ac:dyDescent="0.35">
      <c r="A776" t="s">
        <v>933</v>
      </c>
      <c r="B776" t="s">
        <v>934</v>
      </c>
      <c r="C776" t="s">
        <v>34</v>
      </c>
      <c r="D776" t="s">
        <v>23</v>
      </c>
      <c r="E776" t="s">
        <v>4</v>
      </c>
      <c r="F776" t="s">
        <v>39</v>
      </c>
      <c r="G776">
        <v>114.46</v>
      </c>
      <c r="H776">
        <v>1</v>
      </c>
      <c r="I776">
        <v>30.93</v>
      </c>
    </row>
    <row r="777" spans="1:9" x14ac:dyDescent="0.35">
      <c r="A777" t="s">
        <v>935</v>
      </c>
      <c r="B777" t="s">
        <v>934</v>
      </c>
      <c r="C777" t="s">
        <v>34</v>
      </c>
      <c r="D777" t="s">
        <v>38</v>
      </c>
      <c r="E777" t="s">
        <v>5</v>
      </c>
      <c r="F777" t="s">
        <v>41</v>
      </c>
      <c r="G777">
        <v>36.93</v>
      </c>
      <c r="H777">
        <v>7</v>
      </c>
      <c r="I777">
        <v>9.26</v>
      </c>
    </row>
    <row r="778" spans="1:9" x14ac:dyDescent="0.35">
      <c r="A778" t="s">
        <v>936</v>
      </c>
      <c r="B778" t="s">
        <v>934</v>
      </c>
      <c r="C778" t="s">
        <v>34</v>
      </c>
      <c r="D778" t="s">
        <v>17</v>
      </c>
      <c r="E778" t="s">
        <v>5</v>
      </c>
      <c r="F778" t="s">
        <v>29</v>
      </c>
      <c r="G778">
        <v>177.28</v>
      </c>
      <c r="H778">
        <v>4</v>
      </c>
      <c r="I778">
        <v>45.35</v>
      </c>
    </row>
    <row r="779" spans="1:9" x14ac:dyDescent="0.35">
      <c r="A779" t="s">
        <v>937</v>
      </c>
      <c r="B779" t="s">
        <v>934</v>
      </c>
      <c r="C779" t="s">
        <v>22</v>
      </c>
      <c r="D779" t="s">
        <v>17</v>
      </c>
      <c r="E779" t="s">
        <v>4</v>
      </c>
      <c r="F779" t="s">
        <v>24</v>
      </c>
      <c r="G779">
        <v>323.74</v>
      </c>
      <c r="H779">
        <v>6</v>
      </c>
      <c r="I779">
        <v>39.96</v>
      </c>
    </row>
    <row r="780" spans="1:9" x14ac:dyDescent="0.35">
      <c r="A780" t="s">
        <v>938</v>
      </c>
      <c r="B780" t="s">
        <v>934</v>
      </c>
      <c r="C780" t="s">
        <v>26</v>
      </c>
      <c r="D780" t="s">
        <v>23</v>
      </c>
      <c r="E780" t="s">
        <v>4</v>
      </c>
      <c r="F780" t="s">
        <v>24</v>
      </c>
      <c r="G780">
        <v>284.2</v>
      </c>
      <c r="H780">
        <v>8</v>
      </c>
      <c r="I780">
        <v>62.08</v>
      </c>
    </row>
    <row r="781" spans="1:9" x14ac:dyDescent="0.35">
      <c r="A781" t="s">
        <v>939</v>
      </c>
      <c r="B781" t="s">
        <v>934</v>
      </c>
      <c r="C781" t="s">
        <v>26</v>
      </c>
      <c r="D781" t="s">
        <v>17</v>
      </c>
      <c r="E781" t="s">
        <v>4</v>
      </c>
      <c r="F781" t="s">
        <v>39</v>
      </c>
      <c r="G781">
        <v>167.55</v>
      </c>
      <c r="H781">
        <v>9</v>
      </c>
      <c r="I781">
        <v>18.079999999999998</v>
      </c>
    </row>
    <row r="782" spans="1:9" x14ac:dyDescent="0.35">
      <c r="A782" t="s">
        <v>940</v>
      </c>
      <c r="B782" t="s">
        <v>941</v>
      </c>
      <c r="C782" t="s">
        <v>34</v>
      </c>
      <c r="D782" t="s">
        <v>17</v>
      </c>
      <c r="E782" t="s">
        <v>4</v>
      </c>
      <c r="F782" t="s">
        <v>39</v>
      </c>
      <c r="G782">
        <v>31.74</v>
      </c>
      <c r="H782">
        <v>6</v>
      </c>
      <c r="I782">
        <v>7.86</v>
      </c>
    </row>
    <row r="783" spans="1:9" x14ac:dyDescent="0.35">
      <c r="A783" t="s">
        <v>942</v>
      </c>
      <c r="B783" t="s">
        <v>941</v>
      </c>
      <c r="C783" t="s">
        <v>34</v>
      </c>
      <c r="D783" t="s">
        <v>17</v>
      </c>
      <c r="E783" t="s">
        <v>3</v>
      </c>
      <c r="F783" t="s">
        <v>27</v>
      </c>
      <c r="G783">
        <v>37.880000000000003</v>
      </c>
      <c r="H783">
        <v>9</v>
      </c>
      <c r="I783">
        <v>-6.18</v>
      </c>
    </row>
    <row r="784" spans="1:9" x14ac:dyDescent="0.35">
      <c r="A784" t="s">
        <v>943</v>
      </c>
      <c r="B784" t="s">
        <v>941</v>
      </c>
      <c r="C784" t="s">
        <v>26</v>
      </c>
      <c r="D784" t="s">
        <v>23</v>
      </c>
      <c r="E784" t="s">
        <v>5</v>
      </c>
      <c r="F784" t="s">
        <v>31</v>
      </c>
      <c r="G784">
        <v>27.58</v>
      </c>
      <c r="H784">
        <v>4</v>
      </c>
      <c r="I784">
        <v>3.86</v>
      </c>
    </row>
    <row r="785" spans="1:9" x14ac:dyDescent="0.35">
      <c r="A785" t="s">
        <v>944</v>
      </c>
      <c r="B785" t="s">
        <v>941</v>
      </c>
      <c r="C785" t="s">
        <v>22</v>
      </c>
      <c r="D785" t="s">
        <v>38</v>
      </c>
      <c r="E785" t="s">
        <v>3</v>
      </c>
      <c r="F785" t="s">
        <v>27</v>
      </c>
      <c r="G785">
        <v>64.66</v>
      </c>
      <c r="H785">
        <v>6</v>
      </c>
      <c r="I785">
        <v>1.21</v>
      </c>
    </row>
    <row r="786" spans="1:9" x14ac:dyDescent="0.35">
      <c r="A786" t="s">
        <v>945</v>
      </c>
      <c r="B786" t="s">
        <v>941</v>
      </c>
      <c r="C786" t="s">
        <v>16</v>
      </c>
      <c r="D786" t="s">
        <v>17</v>
      </c>
      <c r="E786" t="s">
        <v>5</v>
      </c>
      <c r="F786" t="s">
        <v>31</v>
      </c>
      <c r="G786">
        <v>41.87</v>
      </c>
      <c r="H786">
        <v>8</v>
      </c>
      <c r="I786">
        <v>10.1</v>
      </c>
    </row>
    <row r="787" spans="1:9" x14ac:dyDescent="0.35">
      <c r="A787" t="s">
        <v>946</v>
      </c>
      <c r="B787" t="s">
        <v>941</v>
      </c>
      <c r="C787" t="s">
        <v>16</v>
      </c>
      <c r="D787" t="s">
        <v>38</v>
      </c>
      <c r="E787" t="s">
        <v>4</v>
      </c>
      <c r="F787" t="s">
        <v>24</v>
      </c>
      <c r="G787">
        <v>65.180000000000007</v>
      </c>
      <c r="H787">
        <v>9</v>
      </c>
      <c r="I787">
        <v>6.82</v>
      </c>
    </row>
    <row r="788" spans="1:9" x14ac:dyDescent="0.35">
      <c r="A788" t="s">
        <v>947</v>
      </c>
      <c r="B788" t="s">
        <v>948</v>
      </c>
      <c r="C788" t="s">
        <v>26</v>
      </c>
      <c r="D788" t="s">
        <v>23</v>
      </c>
      <c r="E788" t="s">
        <v>3</v>
      </c>
      <c r="F788" t="s">
        <v>27</v>
      </c>
      <c r="G788">
        <v>92.93</v>
      </c>
      <c r="H788">
        <v>3</v>
      </c>
      <c r="I788">
        <v>3.62</v>
      </c>
    </row>
    <row r="789" spans="1:9" x14ac:dyDescent="0.35">
      <c r="A789" t="s">
        <v>949</v>
      </c>
      <c r="B789" t="s">
        <v>948</v>
      </c>
      <c r="C789" t="s">
        <v>34</v>
      </c>
      <c r="D789" t="s">
        <v>38</v>
      </c>
      <c r="E789" t="s">
        <v>3</v>
      </c>
      <c r="F789" t="s">
        <v>18</v>
      </c>
      <c r="G789">
        <v>449.66</v>
      </c>
      <c r="H789">
        <v>2</v>
      </c>
      <c r="I789">
        <v>-49.79</v>
      </c>
    </row>
    <row r="790" spans="1:9" x14ac:dyDescent="0.35">
      <c r="A790" t="s">
        <v>950</v>
      </c>
      <c r="B790" t="s">
        <v>948</v>
      </c>
      <c r="C790" t="s">
        <v>34</v>
      </c>
      <c r="D790" t="s">
        <v>23</v>
      </c>
      <c r="E790" t="s">
        <v>3</v>
      </c>
      <c r="F790" t="s">
        <v>27</v>
      </c>
      <c r="G790">
        <v>161.38999999999999</v>
      </c>
      <c r="H790">
        <v>6</v>
      </c>
      <c r="I790">
        <v>-11.3</v>
      </c>
    </row>
    <row r="791" spans="1:9" x14ac:dyDescent="0.35">
      <c r="A791" t="s">
        <v>951</v>
      </c>
      <c r="B791" t="s">
        <v>948</v>
      </c>
      <c r="C791" t="s">
        <v>22</v>
      </c>
      <c r="D791" t="s">
        <v>23</v>
      </c>
      <c r="E791" t="s">
        <v>4</v>
      </c>
      <c r="F791" t="s">
        <v>39</v>
      </c>
      <c r="G791">
        <v>290.25</v>
      </c>
      <c r="H791">
        <v>4</v>
      </c>
      <c r="I791">
        <v>84.15</v>
      </c>
    </row>
    <row r="792" spans="1:9" x14ac:dyDescent="0.35">
      <c r="A792" t="s">
        <v>952</v>
      </c>
      <c r="B792" t="s">
        <v>948</v>
      </c>
      <c r="C792" t="s">
        <v>16</v>
      </c>
      <c r="D792" t="s">
        <v>17</v>
      </c>
      <c r="E792" t="s">
        <v>5</v>
      </c>
      <c r="F792" t="s">
        <v>29</v>
      </c>
      <c r="G792">
        <v>205.86</v>
      </c>
      <c r="H792">
        <v>1</v>
      </c>
      <c r="I792">
        <v>83.15</v>
      </c>
    </row>
    <row r="793" spans="1:9" x14ac:dyDescent="0.35">
      <c r="A793" t="s">
        <v>953</v>
      </c>
      <c r="B793" t="s">
        <v>948</v>
      </c>
      <c r="C793" t="s">
        <v>22</v>
      </c>
      <c r="D793" t="s">
        <v>38</v>
      </c>
      <c r="E793" t="s">
        <v>3</v>
      </c>
      <c r="F793" t="s">
        <v>27</v>
      </c>
      <c r="G793">
        <v>37.9</v>
      </c>
      <c r="H793">
        <v>8</v>
      </c>
      <c r="I793">
        <v>4.0599999999999996</v>
      </c>
    </row>
    <row r="794" spans="1:9" x14ac:dyDescent="0.35">
      <c r="A794" t="s">
        <v>954</v>
      </c>
      <c r="B794" t="s">
        <v>955</v>
      </c>
      <c r="C794" t="s">
        <v>16</v>
      </c>
      <c r="D794" t="s">
        <v>17</v>
      </c>
      <c r="E794" t="s">
        <v>3</v>
      </c>
      <c r="F794" t="s">
        <v>49</v>
      </c>
      <c r="G794">
        <v>219.73</v>
      </c>
      <c r="H794">
        <v>9</v>
      </c>
      <c r="I794">
        <v>-17.190000000000001</v>
      </c>
    </row>
    <row r="795" spans="1:9" x14ac:dyDescent="0.35">
      <c r="A795" t="s">
        <v>956</v>
      </c>
      <c r="B795" t="s">
        <v>955</v>
      </c>
      <c r="C795" t="s">
        <v>26</v>
      </c>
      <c r="D795" t="s">
        <v>38</v>
      </c>
      <c r="E795" t="s">
        <v>4</v>
      </c>
      <c r="F795" t="s">
        <v>20</v>
      </c>
      <c r="G795">
        <v>68.260000000000005</v>
      </c>
      <c r="H795">
        <v>9</v>
      </c>
      <c r="I795">
        <v>18.64</v>
      </c>
    </row>
    <row r="796" spans="1:9" x14ac:dyDescent="0.35">
      <c r="A796" t="s">
        <v>957</v>
      </c>
      <c r="B796" t="s">
        <v>955</v>
      </c>
      <c r="C796" t="s">
        <v>16</v>
      </c>
      <c r="D796" t="s">
        <v>38</v>
      </c>
      <c r="E796" t="s">
        <v>5</v>
      </c>
      <c r="F796" t="s">
        <v>41</v>
      </c>
      <c r="G796">
        <v>172.88</v>
      </c>
      <c r="H796">
        <v>2</v>
      </c>
      <c r="I796">
        <v>26.81</v>
      </c>
    </row>
    <row r="797" spans="1:9" x14ac:dyDescent="0.35">
      <c r="A797" t="s">
        <v>958</v>
      </c>
      <c r="B797" t="s">
        <v>955</v>
      </c>
      <c r="C797" t="s">
        <v>22</v>
      </c>
      <c r="D797" t="s">
        <v>17</v>
      </c>
      <c r="E797" t="s">
        <v>4</v>
      </c>
      <c r="F797" t="s">
        <v>24</v>
      </c>
      <c r="G797">
        <v>82.55</v>
      </c>
      <c r="H797">
        <v>9</v>
      </c>
      <c r="I797">
        <v>4.9000000000000004</v>
      </c>
    </row>
    <row r="798" spans="1:9" x14ac:dyDescent="0.35">
      <c r="A798" t="s">
        <v>959</v>
      </c>
      <c r="B798" t="s">
        <v>955</v>
      </c>
      <c r="C798" t="s">
        <v>22</v>
      </c>
      <c r="D798" t="s">
        <v>17</v>
      </c>
      <c r="E798" t="s">
        <v>4</v>
      </c>
      <c r="F798" t="s">
        <v>24</v>
      </c>
      <c r="G798">
        <v>929.43</v>
      </c>
      <c r="H798">
        <v>7</v>
      </c>
      <c r="I798">
        <v>-79.040000000000006</v>
      </c>
    </row>
    <row r="799" spans="1:9" x14ac:dyDescent="0.35">
      <c r="A799" t="s">
        <v>960</v>
      </c>
      <c r="B799" t="s">
        <v>955</v>
      </c>
      <c r="C799" t="s">
        <v>22</v>
      </c>
      <c r="D799" t="s">
        <v>23</v>
      </c>
      <c r="E799" t="s">
        <v>3</v>
      </c>
      <c r="F799" t="s">
        <v>27</v>
      </c>
      <c r="G799">
        <v>65.89</v>
      </c>
      <c r="H799">
        <v>5</v>
      </c>
      <c r="I799">
        <v>7.73</v>
      </c>
    </row>
    <row r="800" spans="1:9" x14ac:dyDescent="0.35">
      <c r="A800" t="s">
        <v>961</v>
      </c>
      <c r="B800" t="s">
        <v>962</v>
      </c>
      <c r="C800" t="s">
        <v>26</v>
      </c>
      <c r="D800" t="s">
        <v>17</v>
      </c>
      <c r="E800" t="s">
        <v>4</v>
      </c>
      <c r="F800" t="s">
        <v>24</v>
      </c>
      <c r="G800">
        <v>69.09</v>
      </c>
      <c r="H800">
        <v>7</v>
      </c>
      <c r="I800">
        <v>4.3899999999999997</v>
      </c>
    </row>
    <row r="801" spans="1:9" x14ac:dyDescent="0.35">
      <c r="A801" t="s">
        <v>963</v>
      </c>
      <c r="B801" t="s">
        <v>962</v>
      </c>
      <c r="C801" t="s">
        <v>16</v>
      </c>
      <c r="D801" t="s">
        <v>38</v>
      </c>
      <c r="E801" t="s">
        <v>4</v>
      </c>
      <c r="F801" t="s">
        <v>20</v>
      </c>
      <c r="G801">
        <v>420.34</v>
      </c>
      <c r="H801">
        <v>9</v>
      </c>
      <c r="I801">
        <v>57.73</v>
      </c>
    </row>
    <row r="802" spans="1:9" x14ac:dyDescent="0.35">
      <c r="A802" t="s">
        <v>964</v>
      </c>
      <c r="B802" t="s">
        <v>962</v>
      </c>
      <c r="C802" t="s">
        <v>16</v>
      </c>
      <c r="D802" t="s">
        <v>17</v>
      </c>
      <c r="E802" t="s">
        <v>4</v>
      </c>
      <c r="F802" t="s">
        <v>20</v>
      </c>
      <c r="G802">
        <v>23.74</v>
      </c>
      <c r="H802">
        <v>8</v>
      </c>
      <c r="I802">
        <v>1.4</v>
      </c>
    </row>
    <row r="803" spans="1:9" x14ac:dyDescent="0.35">
      <c r="A803" t="s">
        <v>965</v>
      </c>
      <c r="B803" t="s">
        <v>962</v>
      </c>
      <c r="C803" t="s">
        <v>22</v>
      </c>
      <c r="D803" t="s">
        <v>17</v>
      </c>
      <c r="E803" t="s">
        <v>5</v>
      </c>
      <c r="F803" t="s">
        <v>41</v>
      </c>
      <c r="G803">
        <v>198.95</v>
      </c>
      <c r="H803">
        <v>6</v>
      </c>
      <c r="I803">
        <v>63.57</v>
      </c>
    </row>
    <row r="804" spans="1:9" x14ac:dyDescent="0.35">
      <c r="A804" t="s">
        <v>966</v>
      </c>
      <c r="B804" t="s">
        <v>962</v>
      </c>
      <c r="C804" t="s">
        <v>16</v>
      </c>
      <c r="D804" t="s">
        <v>38</v>
      </c>
      <c r="E804" t="s">
        <v>3</v>
      </c>
      <c r="F804" t="s">
        <v>27</v>
      </c>
      <c r="G804">
        <v>213.83</v>
      </c>
      <c r="H804">
        <v>4</v>
      </c>
      <c r="I804">
        <v>-18.72</v>
      </c>
    </row>
    <row r="805" spans="1:9" x14ac:dyDescent="0.35">
      <c r="A805" t="s">
        <v>967</v>
      </c>
      <c r="B805" t="s">
        <v>962</v>
      </c>
      <c r="C805" t="s">
        <v>34</v>
      </c>
      <c r="D805" t="s">
        <v>23</v>
      </c>
      <c r="E805" t="s">
        <v>4</v>
      </c>
      <c r="F805" t="s">
        <v>39</v>
      </c>
      <c r="G805">
        <v>291.52999999999997</v>
      </c>
      <c r="H805">
        <v>1</v>
      </c>
      <c r="I805">
        <v>5.69</v>
      </c>
    </row>
    <row r="806" spans="1:9" x14ac:dyDescent="0.35">
      <c r="A806" t="s">
        <v>968</v>
      </c>
      <c r="B806" t="s">
        <v>969</v>
      </c>
      <c r="C806" t="s">
        <v>34</v>
      </c>
      <c r="D806" t="s">
        <v>38</v>
      </c>
      <c r="E806" t="s">
        <v>3</v>
      </c>
      <c r="F806" t="s">
        <v>18</v>
      </c>
      <c r="G806">
        <v>570</v>
      </c>
      <c r="H806">
        <v>6</v>
      </c>
      <c r="I806">
        <v>-3.33</v>
      </c>
    </row>
    <row r="807" spans="1:9" x14ac:dyDescent="0.35">
      <c r="A807" t="s">
        <v>970</v>
      </c>
      <c r="B807" t="s">
        <v>969</v>
      </c>
      <c r="C807" t="s">
        <v>34</v>
      </c>
      <c r="D807" t="s">
        <v>17</v>
      </c>
      <c r="E807" t="s">
        <v>4</v>
      </c>
      <c r="F807" t="s">
        <v>24</v>
      </c>
      <c r="G807">
        <v>576.99</v>
      </c>
      <c r="H807">
        <v>3</v>
      </c>
      <c r="I807">
        <v>3.82</v>
      </c>
    </row>
    <row r="808" spans="1:9" x14ac:dyDescent="0.35">
      <c r="A808" t="s">
        <v>971</v>
      </c>
      <c r="B808" t="s">
        <v>969</v>
      </c>
      <c r="C808" t="s">
        <v>16</v>
      </c>
      <c r="D808" t="s">
        <v>23</v>
      </c>
      <c r="E808" t="s">
        <v>4</v>
      </c>
      <c r="F808" t="s">
        <v>24</v>
      </c>
      <c r="G808">
        <v>30.13</v>
      </c>
      <c r="H808">
        <v>6</v>
      </c>
      <c r="I808">
        <v>2</v>
      </c>
    </row>
    <row r="809" spans="1:9" x14ac:dyDescent="0.35">
      <c r="A809" t="s">
        <v>972</v>
      </c>
      <c r="B809" t="s">
        <v>969</v>
      </c>
      <c r="C809" t="s">
        <v>26</v>
      </c>
      <c r="D809" t="s">
        <v>23</v>
      </c>
      <c r="E809" t="s">
        <v>4</v>
      </c>
      <c r="F809" t="s">
        <v>20</v>
      </c>
      <c r="G809">
        <v>278.76</v>
      </c>
      <c r="H809">
        <v>6</v>
      </c>
      <c r="I809">
        <v>-16.920000000000002</v>
      </c>
    </row>
    <row r="810" spans="1:9" x14ac:dyDescent="0.35">
      <c r="A810" t="s">
        <v>973</v>
      </c>
      <c r="B810" t="s">
        <v>969</v>
      </c>
      <c r="C810" t="s">
        <v>26</v>
      </c>
      <c r="D810" t="s">
        <v>23</v>
      </c>
      <c r="E810" t="s">
        <v>3</v>
      </c>
      <c r="F810" t="s">
        <v>18</v>
      </c>
      <c r="G810">
        <v>175.9</v>
      </c>
      <c r="H810">
        <v>4</v>
      </c>
      <c r="I810">
        <v>-33.840000000000003</v>
      </c>
    </row>
    <row r="811" spans="1:9" x14ac:dyDescent="0.35">
      <c r="A811" t="s">
        <v>974</v>
      </c>
      <c r="B811" t="s">
        <v>969</v>
      </c>
      <c r="C811" t="s">
        <v>26</v>
      </c>
      <c r="D811" t="s">
        <v>23</v>
      </c>
      <c r="E811" t="s">
        <v>5</v>
      </c>
      <c r="F811" t="s">
        <v>29</v>
      </c>
      <c r="G811">
        <v>176.34</v>
      </c>
      <c r="H811">
        <v>2</v>
      </c>
      <c r="I811">
        <v>47.23</v>
      </c>
    </row>
    <row r="812" spans="1:9" x14ac:dyDescent="0.35">
      <c r="A812" t="s">
        <v>975</v>
      </c>
      <c r="B812" t="s">
        <v>976</v>
      </c>
      <c r="C812" t="s">
        <v>26</v>
      </c>
      <c r="D812" t="s">
        <v>23</v>
      </c>
      <c r="E812" t="s">
        <v>4</v>
      </c>
      <c r="F812" t="s">
        <v>20</v>
      </c>
      <c r="G812">
        <v>40.61</v>
      </c>
      <c r="H812">
        <v>9</v>
      </c>
      <c r="I812">
        <v>-1.89</v>
      </c>
    </row>
    <row r="813" spans="1:9" x14ac:dyDescent="0.35">
      <c r="A813" t="s">
        <v>977</v>
      </c>
      <c r="B813" t="s">
        <v>976</v>
      </c>
      <c r="C813" t="s">
        <v>34</v>
      </c>
      <c r="D813" t="s">
        <v>17</v>
      </c>
      <c r="E813" t="s">
        <v>4</v>
      </c>
      <c r="F813" t="s">
        <v>20</v>
      </c>
      <c r="G813">
        <v>177.55</v>
      </c>
      <c r="H813">
        <v>2</v>
      </c>
      <c r="I813">
        <v>0.33</v>
      </c>
    </row>
    <row r="814" spans="1:9" x14ac:dyDescent="0.35">
      <c r="A814" t="s">
        <v>978</v>
      </c>
      <c r="B814" t="s">
        <v>976</v>
      </c>
      <c r="C814" t="s">
        <v>34</v>
      </c>
      <c r="D814" t="s">
        <v>17</v>
      </c>
      <c r="E814" t="s">
        <v>5</v>
      </c>
      <c r="F814" t="s">
        <v>31</v>
      </c>
      <c r="G814">
        <v>626.67999999999995</v>
      </c>
      <c r="H814">
        <v>3</v>
      </c>
      <c r="I814">
        <v>156.52000000000001</v>
      </c>
    </row>
    <row r="815" spans="1:9" x14ac:dyDescent="0.35">
      <c r="A815" t="s">
        <v>979</v>
      </c>
      <c r="B815" t="s">
        <v>976</v>
      </c>
      <c r="C815" t="s">
        <v>22</v>
      </c>
      <c r="D815" t="s">
        <v>23</v>
      </c>
      <c r="E815" t="s">
        <v>4</v>
      </c>
      <c r="F815" t="s">
        <v>20</v>
      </c>
      <c r="G815">
        <v>384.25</v>
      </c>
      <c r="H815">
        <v>1</v>
      </c>
      <c r="I815">
        <v>36.75</v>
      </c>
    </row>
    <row r="816" spans="1:9" x14ac:dyDescent="0.35">
      <c r="A816" t="s">
        <v>980</v>
      </c>
      <c r="B816" t="s">
        <v>976</v>
      </c>
      <c r="C816" t="s">
        <v>16</v>
      </c>
      <c r="D816" t="s">
        <v>17</v>
      </c>
      <c r="E816" t="s">
        <v>4</v>
      </c>
      <c r="F816" t="s">
        <v>24</v>
      </c>
      <c r="G816">
        <v>106.74</v>
      </c>
      <c r="H816">
        <v>7</v>
      </c>
      <c r="I816">
        <v>37.270000000000003</v>
      </c>
    </row>
    <row r="817" spans="1:9" x14ac:dyDescent="0.35">
      <c r="A817" t="s">
        <v>981</v>
      </c>
      <c r="B817" t="s">
        <v>976</v>
      </c>
      <c r="C817" t="s">
        <v>16</v>
      </c>
      <c r="D817" t="s">
        <v>23</v>
      </c>
      <c r="E817" t="s">
        <v>3</v>
      </c>
      <c r="F817" t="s">
        <v>27</v>
      </c>
      <c r="G817">
        <v>26.12</v>
      </c>
      <c r="H817">
        <v>1</v>
      </c>
      <c r="I817">
        <v>3.48</v>
      </c>
    </row>
    <row r="818" spans="1:9" x14ac:dyDescent="0.35">
      <c r="A818" t="s">
        <v>982</v>
      </c>
      <c r="B818" t="s">
        <v>983</v>
      </c>
      <c r="C818" t="s">
        <v>26</v>
      </c>
      <c r="D818" t="s">
        <v>17</v>
      </c>
      <c r="E818" t="s">
        <v>3</v>
      </c>
      <c r="F818" t="s">
        <v>18</v>
      </c>
      <c r="G818">
        <v>87.48</v>
      </c>
      <c r="H818">
        <v>9</v>
      </c>
      <c r="I818">
        <v>-11.97</v>
      </c>
    </row>
    <row r="819" spans="1:9" x14ac:dyDescent="0.35">
      <c r="A819" t="s">
        <v>984</v>
      </c>
      <c r="B819" t="s">
        <v>983</v>
      </c>
      <c r="C819" t="s">
        <v>34</v>
      </c>
      <c r="D819" t="s">
        <v>23</v>
      </c>
      <c r="E819" t="s">
        <v>3</v>
      </c>
      <c r="F819" t="s">
        <v>18</v>
      </c>
      <c r="G819">
        <v>282.64</v>
      </c>
      <c r="H819">
        <v>1</v>
      </c>
      <c r="I819">
        <v>1.61</v>
      </c>
    </row>
    <row r="820" spans="1:9" x14ac:dyDescent="0.35">
      <c r="A820" t="s">
        <v>985</v>
      </c>
      <c r="B820" t="s">
        <v>983</v>
      </c>
      <c r="C820" t="s">
        <v>26</v>
      </c>
      <c r="D820" t="s">
        <v>23</v>
      </c>
      <c r="E820" t="s">
        <v>5</v>
      </c>
      <c r="F820" t="s">
        <v>31</v>
      </c>
      <c r="G820">
        <v>201.35</v>
      </c>
      <c r="H820">
        <v>5</v>
      </c>
      <c r="I820">
        <v>65.42</v>
      </c>
    </row>
    <row r="821" spans="1:9" x14ac:dyDescent="0.35">
      <c r="A821" t="s">
        <v>986</v>
      </c>
      <c r="B821" t="s">
        <v>983</v>
      </c>
      <c r="C821" t="s">
        <v>22</v>
      </c>
      <c r="D821" t="s">
        <v>17</v>
      </c>
      <c r="E821" t="s">
        <v>3</v>
      </c>
      <c r="F821" t="s">
        <v>18</v>
      </c>
      <c r="G821">
        <v>112.25</v>
      </c>
      <c r="H821">
        <v>7</v>
      </c>
      <c r="I821">
        <v>-12.32</v>
      </c>
    </row>
    <row r="822" spans="1:9" x14ac:dyDescent="0.35">
      <c r="A822" t="s">
        <v>987</v>
      </c>
      <c r="B822" t="s">
        <v>983</v>
      </c>
      <c r="C822" t="s">
        <v>16</v>
      </c>
      <c r="D822" t="s">
        <v>17</v>
      </c>
      <c r="E822" t="s">
        <v>4</v>
      </c>
      <c r="F822" t="s">
        <v>20</v>
      </c>
      <c r="G822">
        <v>28.5</v>
      </c>
      <c r="H822">
        <v>3</v>
      </c>
      <c r="I822">
        <v>0.01</v>
      </c>
    </row>
    <row r="823" spans="1:9" x14ac:dyDescent="0.35">
      <c r="A823" t="s">
        <v>988</v>
      </c>
      <c r="B823" t="s">
        <v>983</v>
      </c>
      <c r="C823" t="s">
        <v>16</v>
      </c>
      <c r="D823" t="s">
        <v>17</v>
      </c>
      <c r="E823" t="s">
        <v>5</v>
      </c>
      <c r="F823" t="s">
        <v>29</v>
      </c>
      <c r="G823">
        <v>103.5</v>
      </c>
      <c r="H823">
        <v>9</v>
      </c>
      <c r="I823">
        <v>25.75</v>
      </c>
    </row>
    <row r="824" spans="1:9" x14ac:dyDescent="0.35">
      <c r="A824" t="s">
        <v>989</v>
      </c>
      <c r="B824" t="s">
        <v>990</v>
      </c>
      <c r="C824" t="s">
        <v>26</v>
      </c>
      <c r="D824" t="s">
        <v>23</v>
      </c>
      <c r="E824" t="s">
        <v>3</v>
      </c>
      <c r="F824" t="s">
        <v>49</v>
      </c>
      <c r="G824">
        <v>114.96</v>
      </c>
      <c r="H824">
        <v>8</v>
      </c>
      <c r="I824">
        <v>-7.74</v>
      </c>
    </row>
    <row r="825" spans="1:9" x14ac:dyDescent="0.35">
      <c r="A825" t="s">
        <v>991</v>
      </c>
      <c r="B825" t="s">
        <v>990</v>
      </c>
      <c r="C825" t="s">
        <v>22</v>
      </c>
      <c r="D825" t="s">
        <v>38</v>
      </c>
      <c r="E825" t="s">
        <v>3</v>
      </c>
      <c r="F825" t="s">
        <v>27</v>
      </c>
      <c r="G825">
        <v>415.83</v>
      </c>
      <c r="H825">
        <v>3</v>
      </c>
      <c r="I825">
        <v>-38.909999999999997</v>
      </c>
    </row>
    <row r="826" spans="1:9" x14ac:dyDescent="0.35">
      <c r="A826" t="s">
        <v>992</v>
      </c>
      <c r="B826" t="s">
        <v>990</v>
      </c>
      <c r="C826" t="s">
        <v>16</v>
      </c>
      <c r="D826" t="s">
        <v>17</v>
      </c>
      <c r="E826" t="s">
        <v>3</v>
      </c>
      <c r="F826" t="s">
        <v>49</v>
      </c>
      <c r="G826">
        <v>173.7</v>
      </c>
      <c r="H826">
        <v>5</v>
      </c>
      <c r="I826">
        <v>-1</v>
      </c>
    </row>
    <row r="827" spans="1:9" x14ac:dyDescent="0.35">
      <c r="A827" t="s">
        <v>993</v>
      </c>
      <c r="B827" t="s">
        <v>990</v>
      </c>
      <c r="C827" t="s">
        <v>22</v>
      </c>
      <c r="D827" t="s">
        <v>23</v>
      </c>
      <c r="E827" t="s">
        <v>4</v>
      </c>
      <c r="F827" t="s">
        <v>20</v>
      </c>
      <c r="G827">
        <v>76.02</v>
      </c>
      <c r="H827">
        <v>7</v>
      </c>
      <c r="I827">
        <v>5.7</v>
      </c>
    </row>
    <row r="828" spans="1:9" x14ac:dyDescent="0.35">
      <c r="A828" t="s">
        <v>994</v>
      </c>
      <c r="B828" t="s">
        <v>990</v>
      </c>
      <c r="C828" t="s">
        <v>22</v>
      </c>
      <c r="D828" t="s">
        <v>17</v>
      </c>
      <c r="E828" t="s">
        <v>3</v>
      </c>
      <c r="F828" t="s">
        <v>49</v>
      </c>
      <c r="G828">
        <v>131.77000000000001</v>
      </c>
      <c r="H828">
        <v>4</v>
      </c>
      <c r="I828">
        <v>-21.77</v>
      </c>
    </row>
    <row r="829" spans="1:9" x14ac:dyDescent="0.35">
      <c r="A829" t="s">
        <v>995</v>
      </c>
      <c r="B829" t="s">
        <v>990</v>
      </c>
      <c r="C829" t="s">
        <v>26</v>
      </c>
      <c r="D829" t="s">
        <v>17</v>
      </c>
      <c r="E829" t="s">
        <v>3</v>
      </c>
      <c r="F829" t="s">
        <v>18</v>
      </c>
      <c r="G829">
        <v>30.25</v>
      </c>
      <c r="H829">
        <v>5</v>
      </c>
      <c r="I829">
        <v>-1.18</v>
      </c>
    </row>
    <row r="830" spans="1:9" x14ac:dyDescent="0.35">
      <c r="A830" t="s">
        <v>996</v>
      </c>
      <c r="B830" t="s">
        <v>997</v>
      </c>
      <c r="C830" t="s">
        <v>34</v>
      </c>
      <c r="D830" t="s">
        <v>38</v>
      </c>
      <c r="E830" t="s">
        <v>4</v>
      </c>
      <c r="F830" t="s">
        <v>39</v>
      </c>
      <c r="G830">
        <v>559.41</v>
      </c>
      <c r="H830">
        <v>3</v>
      </c>
      <c r="I830">
        <v>105.5</v>
      </c>
    </row>
    <row r="831" spans="1:9" x14ac:dyDescent="0.35">
      <c r="A831" t="s">
        <v>998</v>
      </c>
      <c r="B831" t="s">
        <v>997</v>
      </c>
      <c r="C831" t="s">
        <v>26</v>
      </c>
      <c r="D831" t="s">
        <v>17</v>
      </c>
      <c r="E831" t="s">
        <v>3</v>
      </c>
      <c r="F831" t="s">
        <v>18</v>
      </c>
      <c r="G831">
        <v>86.96</v>
      </c>
      <c r="H831">
        <v>9</v>
      </c>
      <c r="I831">
        <v>-14.58</v>
      </c>
    </row>
    <row r="832" spans="1:9" x14ac:dyDescent="0.35">
      <c r="A832" t="s">
        <v>999</v>
      </c>
      <c r="B832" t="s">
        <v>997</v>
      </c>
      <c r="C832" t="s">
        <v>34</v>
      </c>
      <c r="D832" t="s">
        <v>17</v>
      </c>
      <c r="E832" t="s">
        <v>5</v>
      </c>
      <c r="F832" t="s">
        <v>41</v>
      </c>
      <c r="G832">
        <v>117.48</v>
      </c>
      <c r="H832">
        <v>9</v>
      </c>
      <c r="I832">
        <v>40.270000000000003</v>
      </c>
    </row>
    <row r="833" spans="1:9" x14ac:dyDescent="0.35">
      <c r="A833" t="s">
        <v>1000</v>
      </c>
      <c r="B833" t="s">
        <v>997</v>
      </c>
      <c r="C833" t="s">
        <v>22</v>
      </c>
      <c r="D833" t="s">
        <v>17</v>
      </c>
      <c r="E833" t="s">
        <v>3</v>
      </c>
      <c r="F833" t="s">
        <v>49</v>
      </c>
      <c r="G833">
        <v>85.84</v>
      </c>
      <c r="H833">
        <v>7</v>
      </c>
      <c r="I833">
        <v>-19.489999999999998</v>
      </c>
    </row>
    <row r="834" spans="1:9" x14ac:dyDescent="0.35">
      <c r="A834" t="s">
        <v>1001</v>
      </c>
      <c r="B834" t="s">
        <v>997</v>
      </c>
      <c r="C834" t="s">
        <v>34</v>
      </c>
      <c r="D834" t="s">
        <v>17</v>
      </c>
      <c r="E834" t="s">
        <v>5</v>
      </c>
      <c r="F834" t="s">
        <v>41</v>
      </c>
      <c r="G834">
        <v>192.1</v>
      </c>
      <c r="H834">
        <v>2</v>
      </c>
      <c r="I834">
        <v>36.92</v>
      </c>
    </row>
    <row r="835" spans="1:9" x14ac:dyDescent="0.35">
      <c r="A835" t="s">
        <v>1002</v>
      </c>
      <c r="B835" t="s">
        <v>997</v>
      </c>
      <c r="C835" t="s">
        <v>22</v>
      </c>
      <c r="D835" t="s">
        <v>17</v>
      </c>
      <c r="E835" t="s">
        <v>5</v>
      </c>
      <c r="F835" t="s">
        <v>31</v>
      </c>
      <c r="G835">
        <v>182.81</v>
      </c>
      <c r="H835">
        <v>7</v>
      </c>
      <c r="I835">
        <v>40.99</v>
      </c>
    </row>
    <row r="836" spans="1:9" x14ac:dyDescent="0.35">
      <c r="A836" t="s">
        <v>1003</v>
      </c>
      <c r="B836" t="s">
        <v>1004</v>
      </c>
      <c r="C836" t="s">
        <v>16</v>
      </c>
      <c r="D836" t="s">
        <v>17</v>
      </c>
      <c r="E836" t="s">
        <v>3</v>
      </c>
      <c r="F836" t="s">
        <v>49</v>
      </c>
      <c r="G836">
        <v>208.46</v>
      </c>
      <c r="H836">
        <v>7</v>
      </c>
      <c r="I836">
        <v>-23.69</v>
      </c>
    </row>
    <row r="837" spans="1:9" x14ac:dyDescent="0.35">
      <c r="A837" t="s">
        <v>1005</v>
      </c>
      <c r="B837" t="s">
        <v>1004</v>
      </c>
      <c r="C837" t="s">
        <v>16</v>
      </c>
      <c r="D837" t="s">
        <v>23</v>
      </c>
      <c r="E837" t="s">
        <v>3</v>
      </c>
      <c r="F837" t="s">
        <v>27</v>
      </c>
      <c r="G837">
        <v>66.83</v>
      </c>
      <c r="H837">
        <v>5</v>
      </c>
      <c r="I837">
        <v>-7.12</v>
      </c>
    </row>
    <row r="838" spans="1:9" x14ac:dyDescent="0.35">
      <c r="A838" t="s">
        <v>1006</v>
      </c>
      <c r="B838" t="s">
        <v>1004</v>
      </c>
      <c r="C838" t="s">
        <v>16</v>
      </c>
      <c r="D838" t="s">
        <v>17</v>
      </c>
      <c r="E838" t="s">
        <v>4</v>
      </c>
      <c r="F838" t="s">
        <v>20</v>
      </c>
      <c r="G838">
        <v>76.900000000000006</v>
      </c>
      <c r="H838">
        <v>9</v>
      </c>
      <c r="I838">
        <v>25.92</v>
      </c>
    </row>
    <row r="839" spans="1:9" x14ac:dyDescent="0.35">
      <c r="A839" t="s">
        <v>1007</v>
      </c>
      <c r="B839" t="s">
        <v>1004</v>
      </c>
      <c r="C839" t="s">
        <v>26</v>
      </c>
      <c r="D839" t="s">
        <v>23</v>
      </c>
      <c r="E839" t="s">
        <v>3</v>
      </c>
      <c r="F839" t="s">
        <v>49</v>
      </c>
      <c r="G839">
        <v>40.07</v>
      </c>
      <c r="H839">
        <v>3</v>
      </c>
      <c r="I839">
        <v>-5.41</v>
      </c>
    </row>
    <row r="840" spans="1:9" x14ac:dyDescent="0.35">
      <c r="A840" t="s">
        <v>1008</v>
      </c>
      <c r="B840" t="s">
        <v>1004</v>
      </c>
      <c r="C840" t="s">
        <v>26</v>
      </c>
      <c r="D840" t="s">
        <v>17</v>
      </c>
      <c r="E840" t="s">
        <v>3</v>
      </c>
      <c r="F840" t="s">
        <v>18</v>
      </c>
      <c r="G840">
        <v>179.85</v>
      </c>
      <c r="H840">
        <v>4</v>
      </c>
      <c r="I840">
        <v>34.909999999999997</v>
      </c>
    </row>
    <row r="841" spans="1:9" x14ac:dyDescent="0.35">
      <c r="A841" t="s">
        <v>1009</v>
      </c>
      <c r="B841" t="s">
        <v>1004</v>
      </c>
      <c r="C841" t="s">
        <v>22</v>
      </c>
      <c r="D841" t="s">
        <v>17</v>
      </c>
      <c r="E841" t="s">
        <v>4</v>
      </c>
      <c r="F841" t="s">
        <v>20</v>
      </c>
      <c r="G841">
        <v>26.09</v>
      </c>
      <c r="H841">
        <v>1</v>
      </c>
      <c r="I841">
        <v>5.05</v>
      </c>
    </row>
    <row r="842" spans="1:9" x14ac:dyDescent="0.35">
      <c r="A842" t="s">
        <v>1010</v>
      </c>
      <c r="B842" t="s">
        <v>1011</v>
      </c>
      <c r="C842" t="s">
        <v>16</v>
      </c>
      <c r="D842" t="s">
        <v>23</v>
      </c>
      <c r="E842" t="s">
        <v>5</v>
      </c>
      <c r="F842" t="s">
        <v>41</v>
      </c>
      <c r="G842">
        <v>156.58000000000001</v>
      </c>
      <c r="H842">
        <v>6</v>
      </c>
      <c r="I842">
        <v>40.590000000000003</v>
      </c>
    </row>
    <row r="843" spans="1:9" x14ac:dyDescent="0.35">
      <c r="A843" t="s">
        <v>1012</v>
      </c>
      <c r="B843" t="s">
        <v>1011</v>
      </c>
      <c r="C843" t="s">
        <v>26</v>
      </c>
      <c r="D843" t="s">
        <v>38</v>
      </c>
      <c r="E843" t="s">
        <v>4</v>
      </c>
      <c r="F843" t="s">
        <v>24</v>
      </c>
      <c r="G843">
        <v>325.68</v>
      </c>
      <c r="H843">
        <v>4</v>
      </c>
      <c r="I843">
        <v>64.36</v>
      </c>
    </row>
    <row r="844" spans="1:9" x14ac:dyDescent="0.35">
      <c r="A844" t="s">
        <v>1013</v>
      </c>
      <c r="B844" t="s">
        <v>1011</v>
      </c>
      <c r="C844" t="s">
        <v>16</v>
      </c>
      <c r="D844" t="s">
        <v>17</v>
      </c>
      <c r="E844" t="s">
        <v>5</v>
      </c>
      <c r="F844" t="s">
        <v>41</v>
      </c>
      <c r="G844">
        <v>352.23</v>
      </c>
      <c r="H844">
        <v>1</v>
      </c>
      <c r="I844">
        <v>177.17</v>
      </c>
    </row>
    <row r="845" spans="1:9" x14ac:dyDescent="0.35">
      <c r="A845" t="s">
        <v>1014</v>
      </c>
      <c r="B845" t="s">
        <v>1011</v>
      </c>
      <c r="C845" t="s">
        <v>26</v>
      </c>
      <c r="D845" t="s">
        <v>38</v>
      </c>
      <c r="E845" t="s">
        <v>4</v>
      </c>
      <c r="F845" t="s">
        <v>20</v>
      </c>
      <c r="G845">
        <v>109.41</v>
      </c>
      <c r="H845">
        <v>2</v>
      </c>
      <c r="I845">
        <v>5.54</v>
      </c>
    </row>
    <row r="846" spans="1:9" x14ac:dyDescent="0.35">
      <c r="A846" t="s">
        <v>1015</v>
      </c>
      <c r="B846" t="s">
        <v>1011</v>
      </c>
      <c r="C846" t="s">
        <v>34</v>
      </c>
      <c r="D846" t="s">
        <v>23</v>
      </c>
      <c r="E846" t="s">
        <v>5</v>
      </c>
      <c r="F846" t="s">
        <v>29</v>
      </c>
      <c r="G846">
        <v>112.23</v>
      </c>
      <c r="H846">
        <v>3</v>
      </c>
      <c r="I846">
        <v>15.48</v>
      </c>
    </row>
    <row r="847" spans="1:9" x14ac:dyDescent="0.35">
      <c r="A847" t="s">
        <v>1016</v>
      </c>
      <c r="B847" t="s">
        <v>1011</v>
      </c>
      <c r="C847" t="s">
        <v>34</v>
      </c>
      <c r="D847" t="s">
        <v>23</v>
      </c>
      <c r="E847" t="s">
        <v>3</v>
      </c>
      <c r="F847" t="s">
        <v>49</v>
      </c>
      <c r="G847">
        <v>32.01</v>
      </c>
      <c r="H847">
        <v>9</v>
      </c>
      <c r="I847">
        <v>-4.0199999999999996</v>
      </c>
    </row>
    <row r="848" spans="1:9" x14ac:dyDescent="0.35">
      <c r="A848" t="s">
        <v>1017</v>
      </c>
      <c r="B848" t="s">
        <v>1018</v>
      </c>
      <c r="C848" t="s">
        <v>16</v>
      </c>
      <c r="D848" t="s">
        <v>23</v>
      </c>
      <c r="E848" t="s">
        <v>5</v>
      </c>
      <c r="F848" t="s">
        <v>31</v>
      </c>
      <c r="G848">
        <v>186.65</v>
      </c>
      <c r="H848">
        <v>8</v>
      </c>
      <c r="I848">
        <v>47.26</v>
      </c>
    </row>
    <row r="849" spans="1:9" x14ac:dyDescent="0.35">
      <c r="A849" t="s">
        <v>1019</v>
      </c>
      <c r="B849" t="s">
        <v>1018</v>
      </c>
      <c r="C849" t="s">
        <v>22</v>
      </c>
      <c r="D849" t="s">
        <v>17</v>
      </c>
      <c r="E849" t="s">
        <v>4</v>
      </c>
      <c r="F849" t="s">
        <v>24</v>
      </c>
      <c r="G849">
        <v>278.27</v>
      </c>
      <c r="H849">
        <v>7</v>
      </c>
      <c r="I849">
        <v>-6.28</v>
      </c>
    </row>
    <row r="850" spans="1:9" x14ac:dyDescent="0.35">
      <c r="A850" t="s">
        <v>1020</v>
      </c>
      <c r="B850" t="s">
        <v>1018</v>
      </c>
      <c r="C850" t="s">
        <v>26</v>
      </c>
      <c r="D850" t="s">
        <v>17</v>
      </c>
      <c r="E850" t="s">
        <v>3</v>
      </c>
      <c r="F850" t="s">
        <v>18</v>
      </c>
      <c r="G850">
        <v>62.09</v>
      </c>
      <c r="H850">
        <v>4</v>
      </c>
      <c r="I850">
        <v>-2.97</v>
      </c>
    </row>
    <row r="851" spans="1:9" x14ac:dyDescent="0.35">
      <c r="A851" t="s">
        <v>1021</v>
      </c>
      <c r="B851" t="s">
        <v>1018</v>
      </c>
      <c r="C851" t="s">
        <v>26</v>
      </c>
      <c r="D851" t="s">
        <v>23</v>
      </c>
      <c r="E851" t="s">
        <v>3</v>
      </c>
      <c r="F851" t="s">
        <v>18</v>
      </c>
      <c r="G851">
        <v>102.05</v>
      </c>
      <c r="H851">
        <v>1</v>
      </c>
      <c r="I851">
        <v>12.18</v>
      </c>
    </row>
    <row r="852" spans="1:9" x14ac:dyDescent="0.35">
      <c r="A852" t="s">
        <v>1022</v>
      </c>
      <c r="B852" t="s">
        <v>1018</v>
      </c>
      <c r="C852" t="s">
        <v>34</v>
      </c>
      <c r="D852" t="s">
        <v>17</v>
      </c>
      <c r="E852" t="s">
        <v>5</v>
      </c>
      <c r="F852" t="s">
        <v>31</v>
      </c>
      <c r="G852">
        <v>293.8</v>
      </c>
      <c r="H852">
        <v>8</v>
      </c>
      <c r="I852">
        <v>77.900000000000006</v>
      </c>
    </row>
    <row r="853" spans="1:9" x14ac:dyDescent="0.35">
      <c r="A853" t="s">
        <v>1023</v>
      </c>
      <c r="B853" t="s">
        <v>1018</v>
      </c>
      <c r="C853" t="s">
        <v>34</v>
      </c>
      <c r="D853" t="s">
        <v>38</v>
      </c>
      <c r="E853" t="s">
        <v>4</v>
      </c>
      <c r="F853" t="s">
        <v>39</v>
      </c>
      <c r="G853">
        <v>334.48</v>
      </c>
      <c r="H853">
        <v>4</v>
      </c>
      <c r="I853">
        <v>40.380000000000003</v>
      </c>
    </row>
    <row r="854" spans="1:9" x14ac:dyDescent="0.35">
      <c r="A854" t="s">
        <v>1024</v>
      </c>
      <c r="B854" t="s">
        <v>1025</v>
      </c>
      <c r="C854" t="s">
        <v>22</v>
      </c>
      <c r="D854" t="s">
        <v>17</v>
      </c>
      <c r="E854" t="s">
        <v>5</v>
      </c>
      <c r="F854" t="s">
        <v>29</v>
      </c>
      <c r="G854">
        <v>61.79</v>
      </c>
      <c r="H854">
        <v>3</v>
      </c>
      <c r="I854">
        <v>11.63</v>
      </c>
    </row>
    <row r="855" spans="1:9" x14ac:dyDescent="0.35">
      <c r="A855" t="s">
        <v>1026</v>
      </c>
      <c r="B855" t="s">
        <v>1025</v>
      </c>
      <c r="C855" t="s">
        <v>22</v>
      </c>
      <c r="D855" t="s">
        <v>17</v>
      </c>
      <c r="E855" t="s">
        <v>4</v>
      </c>
      <c r="F855" t="s">
        <v>24</v>
      </c>
      <c r="G855">
        <v>139.97</v>
      </c>
      <c r="H855">
        <v>9</v>
      </c>
      <c r="I855">
        <v>33.57</v>
      </c>
    </row>
    <row r="856" spans="1:9" x14ac:dyDescent="0.35">
      <c r="A856" t="s">
        <v>1027</v>
      </c>
      <c r="B856" t="s">
        <v>1025</v>
      </c>
      <c r="C856" t="s">
        <v>22</v>
      </c>
      <c r="D856" t="s">
        <v>23</v>
      </c>
      <c r="E856" t="s">
        <v>5</v>
      </c>
      <c r="F856" t="s">
        <v>29</v>
      </c>
      <c r="G856">
        <v>52.07</v>
      </c>
      <c r="H856">
        <v>4</v>
      </c>
      <c r="I856">
        <v>8.7200000000000006</v>
      </c>
    </row>
    <row r="857" spans="1:9" x14ac:dyDescent="0.35">
      <c r="A857" t="s">
        <v>1028</v>
      </c>
      <c r="B857" t="s">
        <v>1025</v>
      </c>
      <c r="C857" t="s">
        <v>16</v>
      </c>
      <c r="D857" t="s">
        <v>17</v>
      </c>
      <c r="E857" t="s">
        <v>5</v>
      </c>
      <c r="F857" t="s">
        <v>41</v>
      </c>
      <c r="G857">
        <v>36.119999999999997</v>
      </c>
      <c r="H857">
        <v>4</v>
      </c>
      <c r="I857">
        <v>15.7</v>
      </c>
    </row>
    <row r="858" spans="1:9" x14ac:dyDescent="0.35">
      <c r="A858" t="s">
        <v>1029</v>
      </c>
      <c r="B858" t="s">
        <v>1025</v>
      </c>
      <c r="C858" t="s">
        <v>34</v>
      </c>
      <c r="D858" t="s">
        <v>23</v>
      </c>
      <c r="E858" t="s">
        <v>5</v>
      </c>
      <c r="F858" t="s">
        <v>31</v>
      </c>
      <c r="G858">
        <v>383.07</v>
      </c>
      <c r="H858">
        <v>9</v>
      </c>
      <c r="I858">
        <v>169.83</v>
      </c>
    </row>
    <row r="859" spans="1:9" x14ac:dyDescent="0.35">
      <c r="A859" t="s">
        <v>1030</v>
      </c>
      <c r="B859" t="s">
        <v>1025</v>
      </c>
      <c r="C859" t="s">
        <v>16</v>
      </c>
      <c r="D859" t="s">
        <v>23</v>
      </c>
      <c r="E859" t="s">
        <v>3</v>
      </c>
      <c r="F859" t="s">
        <v>18</v>
      </c>
      <c r="G859">
        <v>277.64</v>
      </c>
      <c r="H859">
        <v>2</v>
      </c>
      <c r="I859">
        <v>-6.75</v>
      </c>
    </row>
    <row r="860" spans="1:9" x14ac:dyDescent="0.35">
      <c r="A860" t="s">
        <v>1031</v>
      </c>
      <c r="B860" t="s">
        <v>1032</v>
      </c>
      <c r="C860" t="s">
        <v>34</v>
      </c>
      <c r="D860" t="s">
        <v>38</v>
      </c>
      <c r="E860" t="s">
        <v>3</v>
      </c>
      <c r="F860" t="s">
        <v>49</v>
      </c>
      <c r="G860">
        <v>234.09</v>
      </c>
      <c r="H860">
        <v>5</v>
      </c>
      <c r="I860">
        <v>-11.97</v>
      </c>
    </row>
    <row r="861" spans="1:9" x14ac:dyDescent="0.35">
      <c r="A861" t="s">
        <v>1033</v>
      </c>
      <c r="B861" t="s">
        <v>1032</v>
      </c>
      <c r="C861" t="s">
        <v>34</v>
      </c>
      <c r="D861" t="s">
        <v>23</v>
      </c>
      <c r="E861" t="s">
        <v>5</v>
      </c>
      <c r="F861" t="s">
        <v>29</v>
      </c>
      <c r="G861">
        <v>27.5</v>
      </c>
      <c r="H861">
        <v>4</v>
      </c>
      <c r="I861">
        <v>9.7100000000000009</v>
      </c>
    </row>
    <row r="862" spans="1:9" x14ac:dyDescent="0.35">
      <c r="A862" t="s">
        <v>1034</v>
      </c>
      <c r="B862" t="s">
        <v>1032</v>
      </c>
      <c r="C862" t="s">
        <v>26</v>
      </c>
      <c r="D862" t="s">
        <v>23</v>
      </c>
      <c r="E862" t="s">
        <v>4</v>
      </c>
      <c r="F862" t="s">
        <v>39</v>
      </c>
      <c r="G862">
        <v>298.42</v>
      </c>
      <c r="H862">
        <v>9</v>
      </c>
      <c r="I862">
        <v>77.430000000000007</v>
      </c>
    </row>
    <row r="863" spans="1:9" x14ac:dyDescent="0.35">
      <c r="A863" t="s">
        <v>1035</v>
      </c>
      <c r="B863" t="s">
        <v>1032</v>
      </c>
      <c r="C863" t="s">
        <v>34</v>
      </c>
      <c r="D863" t="s">
        <v>23</v>
      </c>
      <c r="E863" t="s">
        <v>3</v>
      </c>
      <c r="F863" t="s">
        <v>49</v>
      </c>
      <c r="G863">
        <v>106.45</v>
      </c>
      <c r="H863">
        <v>5</v>
      </c>
      <c r="I863">
        <v>-13.9</v>
      </c>
    </row>
    <row r="864" spans="1:9" x14ac:dyDescent="0.35">
      <c r="A864" t="s">
        <v>1036</v>
      </c>
      <c r="B864" t="s">
        <v>1032</v>
      </c>
      <c r="C864" t="s">
        <v>34</v>
      </c>
      <c r="D864" t="s">
        <v>38</v>
      </c>
      <c r="E864" t="s">
        <v>3</v>
      </c>
      <c r="F864" t="s">
        <v>27</v>
      </c>
      <c r="G864">
        <v>82.87</v>
      </c>
      <c r="H864">
        <v>9</v>
      </c>
      <c r="I864">
        <v>-8.51</v>
      </c>
    </row>
    <row r="865" spans="1:9" x14ac:dyDescent="0.35">
      <c r="A865" t="s">
        <v>1037</v>
      </c>
      <c r="B865" t="s">
        <v>1032</v>
      </c>
      <c r="C865" t="s">
        <v>16</v>
      </c>
      <c r="D865" t="s">
        <v>17</v>
      </c>
      <c r="E865" t="s">
        <v>3</v>
      </c>
      <c r="F865" t="s">
        <v>49</v>
      </c>
      <c r="G865">
        <v>138.61000000000001</v>
      </c>
      <c r="H865">
        <v>9</v>
      </c>
      <c r="I865">
        <v>-25.26</v>
      </c>
    </row>
    <row r="866" spans="1:9" x14ac:dyDescent="0.35">
      <c r="A866" t="s">
        <v>1038</v>
      </c>
      <c r="B866" t="s">
        <v>1039</v>
      </c>
      <c r="C866" t="s">
        <v>34</v>
      </c>
      <c r="D866" t="s">
        <v>17</v>
      </c>
      <c r="E866" t="s">
        <v>3</v>
      </c>
      <c r="F866" t="s">
        <v>18</v>
      </c>
      <c r="G866">
        <v>34.369999999999997</v>
      </c>
      <c r="H866">
        <v>2</v>
      </c>
      <c r="I866">
        <v>-0.31</v>
      </c>
    </row>
    <row r="867" spans="1:9" x14ac:dyDescent="0.35">
      <c r="A867" t="s">
        <v>1040</v>
      </c>
      <c r="B867" t="s">
        <v>1039</v>
      </c>
      <c r="C867" t="s">
        <v>16</v>
      </c>
      <c r="D867" t="s">
        <v>17</v>
      </c>
      <c r="E867" t="s">
        <v>3</v>
      </c>
      <c r="F867" t="s">
        <v>49</v>
      </c>
      <c r="G867">
        <v>231.99</v>
      </c>
      <c r="H867">
        <v>9</v>
      </c>
      <c r="I867">
        <v>3.87</v>
      </c>
    </row>
    <row r="868" spans="1:9" x14ac:dyDescent="0.35">
      <c r="A868" t="s">
        <v>1041</v>
      </c>
      <c r="B868" t="s">
        <v>1039</v>
      </c>
      <c r="C868" t="s">
        <v>22</v>
      </c>
      <c r="D868" t="s">
        <v>17</v>
      </c>
      <c r="E868" t="s">
        <v>5</v>
      </c>
      <c r="F868" t="s">
        <v>41</v>
      </c>
      <c r="G868">
        <v>151</v>
      </c>
      <c r="H868">
        <v>3</v>
      </c>
      <c r="I868">
        <v>17.37</v>
      </c>
    </row>
    <row r="869" spans="1:9" x14ac:dyDescent="0.35">
      <c r="A869" t="s">
        <v>1042</v>
      </c>
      <c r="B869" t="s">
        <v>1039</v>
      </c>
      <c r="C869" t="s">
        <v>34</v>
      </c>
      <c r="D869" t="s">
        <v>23</v>
      </c>
      <c r="E869" t="s">
        <v>5</v>
      </c>
      <c r="F869" t="s">
        <v>31</v>
      </c>
      <c r="G869">
        <v>50.98</v>
      </c>
      <c r="H869">
        <v>4</v>
      </c>
      <c r="I869">
        <v>10.42</v>
      </c>
    </row>
    <row r="870" spans="1:9" x14ac:dyDescent="0.35">
      <c r="A870" t="s">
        <v>1043</v>
      </c>
      <c r="B870" t="s">
        <v>1039</v>
      </c>
      <c r="C870" t="s">
        <v>34</v>
      </c>
      <c r="D870" t="s">
        <v>23</v>
      </c>
      <c r="E870" t="s">
        <v>4</v>
      </c>
      <c r="F870" t="s">
        <v>39</v>
      </c>
      <c r="G870">
        <v>51.28</v>
      </c>
      <c r="H870">
        <v>1</v>
      </c>
      <c r="I870">
        <v>0.78</v>
      </c>
    </row>
    <row r="871" spans="1:9" x14ac:dyDescent="0.35">
      <c r="A871" t="s">
        <v>1044</v>
      </c>
      <c r="B871" t="s">
        <v>1039</v>
      </c>
      <c r="C871" t="s">
        <v>16</v>
      </c>
      <c r="D871" t="s">
        <v>23</v>
      </c>
      <c r="E871" t="s">
        <v>4</v>
      </c>
      <c r="F871" t="s">
        <v>39</v>
      </c>
      <c r="G871">
        <v>50.55</v>
      </c>
      <c r="H871">
        <v>1</v>
      </c>
      <c r="I871">
        <v>3.04</v>
      </c>
    </row>
    <row r="872" spans="1:9" x14ac:dyDescent="0.35">
      <c r="A872" t="s">
        <v>1045</v>
      </c>
      <c r="B872" t="s">
        <v>1046</v>
      </c>
      <c r="C872" t="s">
        <v>22</v>
      </c>
      <c r="D872" t="s">
        <v>17</v>
      </c>
      <c r="E872" t="s">
        <v>3</v>
      </c>
      <c r="F872" t="s">
        <v>18</v>
      </c>
      <c r="G872">
        <v>28.8</v>
      </c>
      <c r="H872">
        <v>1</v>
      </c>
      <c r="I872">
        <v>0.15</v>
      </c>
    </row>
    <row r="873" spans="1:9" x14ac:dyDescent="0.35">
      <c r="A873" t="s">
        <v>1047</v>
      </c>
      <c r="B873" t="s">
        <v>1046</v>
      </c>
      <c r="C873" t="s">
        <v>26</v>
      </c>
      <c r="D873" t="s">
        <v>23</v>
      </c>
      <c r="E873" t="s">
        <v>5</v>
      </c>
      <c r="F873" t="s">
        <v>31</v>
      </c>
      <c r="G873">
        <v>152.94</v>
      </c>
      <c r="H873">
        <v>9</v>
      </c>
      <c r="I873">
        <v>27.02</v>
      </c>
    </row>
    <row r="874" spans="1:9" x14ac:dyDescent="0.35">
      <c r="A874" t="s">
        <v>1048</v>
      </c>
      <c r="B874" t="s">
        <v>1046</v>
      </c>
      <c r="C874" t="s">
        <v>22</v>
      </c>
      <c r="D874" t="s">
        <v>17</v>
      </c>
      <c r="E874" t="s">
        <v>4</v>
      </c>
      <c r="F874" t="s">
        <v>24</v>
      </c>
      <c r="G874">
        <v>295.20999999999998</v>
      </c>
      <c r="H874">
        <v>8</v>
      </c>
      <c r="I874">
        <v>35.4</v>
      </c>
    </row>
    <row r="875" spans="1:9" x14ac:dyDescent="0.35">
      <c r="A875" t="s">
        <v>1049</v>
      </c>
      <c r="B875" t="s">
        <v>1046</v>
      </c>
      <c r="C875" t="s">
        <v>16</v>
      </c>
      <c r="D875" t="s">
        <v>23</v>
      </c>
      <c r="E875" t="s">
        <v>3</v>
      </c>
      <c r="F875" t="s">
        <v>27</v>
      </c>
      <c r="G875">
        <v>22.65</v>
      </c>
      <c r="H875">
        <v>5</v>
      </c>
      <c r="I875">
        <v>-4.82</v>
      </c>
    </row>
    <row r="876" spans="1:9" x14ac:dyDescent="0.35">
      <c r="A876" t="s">
        <v>1050</v>
      </c>
      <c r="B876" t="s">
        <v>1046</v>
      </c>
      <c r="C876" t="s">
        <v>22</v>
      </c>
      <c r="D876" t="s">
        <v>23</v>
      </c>
      <c r="E876" t="s">
        <v>5</v>
      </c>
      <c r="F876" t="s">
        <v>41</v>
      </c>
      <c r="G876">
        <v>27.54</v>
      </c>
      <c r="H876">
        <v>5</v>
      </c>
      <c r="I876">
        <v>7.4</v>
      </c>
    </row>
    <row r="877" spans="1:9" x14ac:dyDescent="0.35">
      <c r="A877" t="s">
        <v>1051</v>
      </c>
      <c r="B877" t="s">
        <v>1046</v>
      </c>
      <c r="C877" t="s">
        <v>16</v>
      </c>
      <c r="D877" t="s">
        <v>17</v>
      </c>
      <c r="E877" t="s">
        <v>5</v>
      </c>
      <c r="F877" t="s">
        <v>31</v>
      </c>
      <c r="G877">
        <v>147.57</v>
      </c>
      <c r="H877">
        <v>9</v>
      </c>
      <c r="I877">
        <v>36.24</v>
      </c>
    </row>
    <row r="878" spans="1:9" x14ac:dyDescent="0.35">
      <c r="A878" t="s">
        <v>1052</v>
      </c>
      <c r="B878" t="s">
        <v>1053</v>
      </c>
      <c r="C878" t="s">
        <v>16</v>
      </c>
      <c r="D878" t="s">
        <v>17</v>
      </c>
      <c r="E878" t="s">
        <v>4</v>
      </c>
      <c r="F878" t="s">
        <v>39</v>
      </c>
      <c r="G878">
        <v>276.8</v>
      </c>
      <c r="H878">
        <v>3</v>
      </c>
      <c r="I878">
        <v>21.34</v>
      </c>
    </row>
    <row r="879" spans="1:9" x14ac:dyDescent="0.35">
      <c r="A879" t="s">
        <v>1054</v>
      </c>
      <c r="B879" t="s">
        <v>1053</v>
      </c>
      <c r="C879" t="s">
        <v>26</v>
      </c>
      <c r="D879" t="s">
        <v>17</v>
      </c>
      <c r="E879" t="s">
        <v>4</v>
      </c>
      <c r="F879" t="s">
        <v>39</v>
      </c>
      <c r="G879">
        <v>79.34</v>
      </c>
      <c r="H879">
        <v>3</v>
      </c>
      <c r="I879">
        <v>10.4</v>
      </c>
    </row>
    <row r="880" spans="1:9" x14ac:dyDescent="0.35">
      <c r="A880" t="s">
        <v>1055</v>
      </c>
      <c r="B880" t="s">
        <v>1053</v>
      </c>
      <c r="C880" t="s">
        <v>34</v>
      </c>
      <c r="D880" t="s">
        <v>38</v>
      </c>
      <c r="E880" t="s">
        <v>5</v>
      </c>
      <c r="F880" t="s">
        <v>29</v>
      </c>
      <c r="G880">
        <v>84.53</v>
      </c>
      <c r="H880">
        <v>7</v>
      </c>
      <c r="I880">
        <v>22.66</v>
      </c>
    </row>
    <row r="881" spans="1:9" x14ac:dyDescent="0.35">
      <c r="A881" t="s">
        <v>1056</v>
      </c>
      <c r="B881" t="s">
        <v>1053</v>
      </c>
      <c r="C881" t="s">
        <v>16</v>
      </c>
      <c r="D881" t="s">
        <v>38</v>
      </c>
      <c r="E881" t="s">
        <v>5</v>
      </c>
      <c r="F881" t="s">
        <v>29</v>
      </c>
      <c r="G881">
        <v>156.08000000000001</v>
      </c>
      <c r="H881">
        <v>9</v>
      </c>
      <c r="I881">
        <v>26.3</v>
      </c>
    </row>
    <row r="882" spans="1:9" x14ac:dyDescent="0.35">
      <c r="A882" t="s">
        <v>1057</v>
      </c>
      <c r="B882" t="s">
        <v>1053</v>
      </c>
      <c r="C882" t="s">
        <v>16</v>
      </c>
      <c r="D882" t="s">
        <v>23</v>
      </c>
      <c r="E882" t="s">
        <v>5</v>
      </c>
      <c r="F882" t="s">
        <v>29</v>
      </c>
      <c r="G882">
        <v>68.069999999999993</v>
      </c>
      <c r="H882">
        <v>6</v>
      </c>
      <c r="I882">
        <v>6.97</v>
      </c>
    </row>
    <row r="883" spans="1:9" x14ac:dyDescent="0.35">
      <c r="A883" t="s">
        <v>1058</v>
      </c>
      <c r="B883" t="s">
        <v>1053</v>
      </c>
      <c r="C883" t="s">
        <v>26</v>
      </c>
      <c r="D883" t="s">
        <v>17</v>
      </c>
      <c r="E883" t="s">
        <v>4</v>
      </c>
      <c r="F883" t="s">
        <v>20</v>
      </c>
      <c r="G883">
        <v>24.05</v>
      </c>
      <c r="H883">
        <v>2</v>
      </c>
      <c r="I883">
        <v>7.95</v>
      </c>
    </row>
    <row r="884" spans="1:9" x14ac:dyDescent="0.35">
      <c r="A884" t="s">
        <v>1059</v>
      </c>
      <c r="B884" t="s">
        <v>1060</v>
      </c>
      <c r="C884" t="s">
        <v>16</v>
      </c>
      <c r="D884" t="s">
        <v>17</v>
      </c>
      <c r="E884" t="s">
        <v>5</v>
      </c>
      <c r="F884" t="s">
        <v>29</v>
      </c>
      <c r="G884">
        <v>219.33</v>
      </c>
      <c r="H884">
        <v>1</v>
      </c>
      <c r="I884">
        <v>40.94</v>
      </c>
    </row>
    <row r="885" spans="1:9" x14ac:dyDescent="0.35">
      <c r="A885" t="s">
        <v>1061</v>
      </c>
      <c r="B885" t="s">
        <v>1060</v>
      </c>
      <c r="C885" t="s">
        <v>34</v>
      </c>
      <c r="D885" t="s">
        <v>23</v>
      </c>
      <c r="E885" t="s">
        <v>5</v>
      </c>
      <c r="F885" t="s">
        <v>41</v>
      </c>
      <c r="G885">
        <v>167.38</v>
      </c>
      <c r="H885">
        <v>2</v>
      </c>
      <c r="I885">
        <v>40.229999999999997</v>
      </c>
    </row>
    <row r="886" spans="1:9" x14ac:dyDescent="0.35">
      <c r="A886" t="s">
        <v>1062</v>
      </c>
      <c r="B886" t="s">
        <v>1060</v>
      </c>
      <c r="C886" t="s">
        <v>26</v>
      </c>
      <c r="D886" t="s">
        <v>23</v>
      </c>
      <c r="E886" t="s">
        <v>4</v>
      </c>
      <c r="F886" t="s">
        <v>39</v>
      </c>
      <c r="G886">
        <v>150.4</v>
      </c>
      <c r="H886">
        <v>1</v>
      </c>
      <c r="I886">
        <v>37.76</v>
      </c>
    </row>
    <row r="887" spans="1:9" x14ac:dyDescent="0.35">
      <c r="A887" t="s">
        <v>1063</v>
      </c>
      <c r="B887" t="s">
        <v>1060</v>
      </c>
      <c r="C887" t="s">
        <v>34</v>
      </c>
      <c r="D887" t="s">
        <v>17</v>
      </c>
      <c r="E887" t="s">
        <v>5</v>
      </c>
      <c r="F887" t="s">
        <v>31</v>
      </c>
      <c r="G887">
        <v>223.04</v>
      </c>
      <c r="H887">
        <v>9</v>
      </c>
      <c r="I887">
        <v>134.47</v>
      </c>
    </row>
    <row r="888" spans="1:9" x14ac:dyDescent="0.35">
      <c r="A888" t="s">
        <v>1064</v>
      </c>
      <c r="B888" t="s">
        <v>1060</v>
      </c>
      <c r="C888" t="s">
        <v>34</v>
      </c>
      <c r="D888" t="s">
        <v>17</v>
      </c>
      <c r="E888" t="s">
        <v>4</v>
      </c>
      <c r="F888" t="s">
        <v>39</v>
      </c>
      <c r="G888">
        <v>188.7</v>
      </c>
      <c r="H888">
        <v>8</v>
      </c>
      <c r="I888">
        <v>4.82</v>
      </c>
    </row>
    <row r="889" spans="1:9" x14ac:dyDescent="0.35">
      <c r="A889" t="s">
        <v>1065</v>
      </c>
      <c r="B889" t="s">
        <v>1060</v>
      </c>
      <c r="C889" t="s">
        <v>26</v>
      </c>
      <c r="D889" t="s">
        <v>23</v>
      </c>
      <c r="E889" t="s">
        <v>5</v>
      </c>
      <c r="F889" t="s">
        <v>41</v>
      </c>
      <c r="G889">
        <v>54.58</v>
      </c>
      <c r="H889">
        <v>7</v>
      </c>
      <c r="I889">
        <v>16.100000000000001</v>
      </c>
    </row>
    <row r="890" spans="1:9" x14ac:dyDescent="0.35">
      <c r="A890" t="s">
        <v>1066</v>
      </c>
      <c r="B890" t="s">
        <v>1067</v>
      </c>
      <c r="C890" t="s">
        <v>16</v>
      </c>
      <c r="D890" t="s">
        <v>17</v>
      </c>
      <c r="E890" t="s">
        <v>5</v>
      </c>
      <c r="F890" t="s">
        <v>29</v>
      </c>
      <c r="G890">
        <v>85.19</v>
      </c>
      <c r="H890">
        <v>3</v>
      </c>
      <c r="I890">
        <v>15.27</v>
      </c>
    </row>
    <row r="891" spans="1:9" x14ac:dyDescent="0.35">
      <c r="A891" t="s">
        <v>1068</v>
      </c>
      <c r="B891" t="s">
        <v>1067</v>
      </c>
      <c r="C891" t="s">
        <v>34</v>
      </c>
      <c r="D891" t="s">
        <v>17</v>
      </c>
      <c r="E891" t="s">
        <v>5</v>
      </c>
      <c r="F891" t="s">
        <v>41</v>
      </c>
      <c r="G891">
        <v>40.22</v>
      </c>
      <c r="H891">
        <v>8</v>
      </c>
      <c r="I891">
        <v>7.89</v>
      </c>
    </row>
    <row r="892" spans="1:9" x14ac:dyDescent="0.35">
      <c r="A892" t="s">
        <v>1069</v>
      </c>
      <c r="B892" t="s">
        <v>1067</v>
      </c>
      <c r="C892" t="s">
        <v>34</v>
      </c>
      <c r="D892" t="s">
        <v>17</v>
      </c>
      <c r="E892" t="s">
        <v>4</v>
      </c>
      <c r="F892" t="s">
        <v>20</v>
      </c>
      <c r="G892">
        <v>40.86</v>
      </c>
      <c r="H892">
        <v>2</v>
      </c>
      <c r="I892">
        <v>3.19</v>
      </c>
    </row>
    <row r="893" spans="1:9" x14ac:dyDescent="0.35">
      <c r="A893" t="s">
        <v>1070</v>
      </c>
      <c r="B893" t="s">
        <v>1067</v>
      </c>
      <c r="C893" t="s">
        <v>34</v>
      </c>
      <c r="D893" t="s">
        <v>23</v>
      </c>
      <c r="E893" t="s">
        <v>4</v>
      </c>
      <c r="F893" t="s">
        <v>24</v>
      </c>
      <c r="G893">
        <v>189.14</v>
      </c>
      <c r="H893">
        <v>2</v>
      </c>
      <c r="I893">
        <v>7.08</v>
      </c>
    </row>
    <row r="894" spans="1:9" x14ac:dyDescent="0.35">
      <c r="A894" t="s">
        <v>1071</v>
      </c>
      <c r="B894" t="s">
        <v>1067</v>
      </c>
      <c r="C894" t="s">
        <v>34</v>
      </c>
      <c r="D894" t="s">
        <v>38</v>
      </c>
      <c r="E894" t="s">
        <v>4</v>
      </c>
      <c r="F894" t="s">
        <v>24</v>
      </c>
      <c r="G894">
        <v>313.42</v>
      </c>
      <c r="H894">
        <v>3</v>
      </c>
      <c r="I894">
        <v>45.72</v>
      </c>
    </row>
    <row r="895" spans="1:9" x14ac:dyDescent="0.35">
      <c r="A895" t="s">
        <v>1072</v>
      </c>
      <c r="B895" t="s">
        <v>1067</v>
      </c>
      <c r="C895" t="s">
        <v>26</v>
      </c>
      <c r="D895" t="s">
        <v>38</v>
      </c>
      <c r="E895" t="s">
        <v>3</v>
      </c>
      <c r="F895" t="s">
        <v>49</v>
      </c>
      <c r="G895">
        <v>513.45000000000005</v>
      </c>
      <c r="H895">
        <v>7</v>
      </c>
      <c r="I895">
        <v>-101.38</v>
      </c>
    </row>
    <row r="896" spans="1:9" x14ac:dyDescent="0.35">
      <c r="A896" t="s">
        <v>1073</v>
      </c>
      <c r="B896" t="s">
        <v>1074</v>
      </c>
      <c r="C896" t="s">
        <v>26</v>
      </c>
      <c r="D896" t="s">
        <v>23</v>
      </c>
      <c r="E896" t="s">
        <v>4</v>
      </c>
      <c r="F896" t="s">
        <v>24</v>
      </c>
      <c r="G896">
        <v>168.47</v>
      </c>
      <c r="H896">
        <v>1</v>
      </c>
      <c r="I896">
        <v>41.22</v>
      </c>
    </row>
    <row r="897" spans="1:9" x14ac:dyDescent="0.35">
      <c r="A897" t="s">
        <v>1075</v>
      </c>
      <c r="B897" t="s">
        <v>1074</v>
      </c>
      <c r="C897" t="s">
        <v>22</v>
      </c>
      <c r="D897" t="s">
        <v>23</v>
      </c>
      <c r="E897" t="s">
        <v>5</v>
      </c>
      <c r="F897" t="s">
        <v>41</v>
      </c>
      <c r="G897">
        <v>50.52</v>
      </c>
      <c r="H897">
        <v>8</v>
      </c>
      <c r="I897">
        <v>12.91</v>
      </c>
    </row>
    <row r="898" spans="1:9" x14ac:dyDescent="0.35">
      <c r="A898" t="s">
        <v>1076</v>
      </c>
      <c r="B898" t="s">
        <v>1074</v>
      </c>
      <c r="C898" t="s">
        <v>22</v>
      </c>
      <c r="D898" t="s">
        <v>17</v>
      </c>
      <c r="E898" t="s">
        <v>5</v>
      </c>
      <c r="F898" t="s">
        <v>31</v>
      </c>
      <c r="G898">
        <v>36.75</v>
      </c>
      <c r="H898">
        <v>7</v>
      </c>
      <c r="I898">
        <v>10.74</v>
      </c>
    </row>
    <row r="899" spans="1:9" x14ac:dyDescent="0.35">
      <c r="A899" t="s">
        <v>1077</v>
      </c>
      <c r="B899" t="s">
        <v>1074</v>
      </c>
      <c r="C899" t="s">
        <v>34</v>
      </c>
      <c r="D899" t="s">
        <v>23</v>
      </c>
      <c r="E899" t="s">
        <v>4</v>
      </c>
      <c r="F899" t="s">
        <v>20</v>
      </c>
      <c r="G899">
        <v>271.38</v>
      </c>
      <c r="H899">
        <v>4</v>
      </c>
      <c r="I899">
        <v>28.06</v>
      </c>
    </row>
    <row r="900" spans="1:9" x14ac:dyDescent="0.35">
      <c r="A900" t="s">
        <v>1078</v>
      </c>
      <c r="B900" t="s">
        <v>1074</v>
      </c>
      <c r="C900" t="s">
        <v>16</v>
      </c>
      <c r="D900" t="s">
        <v>17</v>
      </c>
      <c r="E900" t="s">
        <v>5</v>
      </c>
      <c r="F900" t="s">
        <v>29</v>
      </c>
      <c r="G900">
        <v>149.68</v>
      </c>
      <c r="H900">
        <v>5</v>
      </c>
      <c r="I900">
        <v>31.92</v>
      </c>
    </row>
    <row r="901" spans="1:9" x14ac:dyDescent="0.35">
      <c r="A901" t="s">
        <v>1079</v>
      </c>
      <c r="B901" t="s">
        <v>1074</v>
      </c>
      <c r="C901" t="s">
        <v>34</v>
      </c>
      <c r="D901" t="s">
        <v>23</v>
      </c>
      <c r="E901" t="s">
        <v>5</v>
      </c>
      <c r="F901" t="s">
        <v>29</v>
      </c>
      <c r="G901">
        <v>164.46</v>
      </c>
      <c r="H901">
        <v>1</v>
      </c>
      <c r="I901">
        <v>45.84</v>
      </c>
    </row>
    <row r="902" spans="1:9" x14ac:dyDescent="0.35">
      <c r="A902" t="s">
        <v>1080</v>
      </c>
      <c r="B902" t="s">
        <v>1081</v>
      </c>
      <c r="C902" t="s">
        <v>16</v>
      </c>
      <c r="D902" t="s">
        <v>17</v>
      </c>
      <c r="E902" t="s">
        <v>5</v>
      </c>
      <c r="F902" t="s">
        <v>29</v>
      </c>
      <c r="G902">
        <v>248.12</v>
      </c>
      <c r="H902">
        <v>4</v>
      </c>
      <c r="I902">
        <v>33.15</v>
      </c>
    </row>
    <row r="903" spans="1:9" x14ac:dyDescent="0.35">
      <c r="A903" t="s">
        <v>1082</v>
      </c>
      <c r="B903" t="s">
        <v>1081</v>
      </c>
      <c r="C903" t="s">
        <v>34</v>
      </c>
      <c r="D903" t="s">
        <v>17</v>
      </c>
      <c r="E903" t="s">
        <v>5</v>
      </c>
      <c r="F903" t="s">
        <v>41</v>
      </c>
      <c r="G903">
        <v>202.24</v>
      </c>
      <c r="H903">
        <v>1</v>
      </c>
      <c r="I903">
        <v>43.32</v>
      </c>
    </row>
    <row r="904" spans="1:9" x14ac:dyDescent="0.35">
      <c r="A904" t="s">
        <v>1083</v>
      </c>
      <c r="B904" t="s">
        <v>1081</v>
      </c>
      <c r="C904" t="s">
        <v>22</v>
      </c>
      <c r="D904" t="s">
        <v>17</v>
      </c>
      <c r="E904" t="s">
        <v>5</v>
      </c>
      <c r="F904" t="s">
        <v>31</v>
      </c>
      <c r="G904">
        <v>289.77999999999997</v>
      </c>
      <c r="H904">
        <v>1</v>
      </c>
      <c r="I904">
        <v>47.54</v>
      </c>
    </row>
    <row r="905" spans="1:9" x14ac:dyDescent="0.35">
      <c r="A905" t="s">
        <v>1084</v>
      </c>
      <c r="B905" t="s">
        <v>1081</v>
      </c>
      <c r="C905" t="s">
        <v>22</v>
      </c>
      <c r="D905" t="s">
        <v>17</v>
      </c>
      <c r="E905" t="s">
        <v>3</v>
      </c>
      <c r="F905" t="s">
        <v>49</v>
      </c>
      <c r="G905">
        <v>28.68</v>
      </c>
      <c r="H905">
        <v>1</v>
      </c>
      <c r="I905">
        <v>-3.99</v>
      </c>
    </row>
    <row r="906" spans="1:9" x14ac:dyDescent="0.35">
      <c r="A906" t="s">
        <v>1085</v>
      </c>
      <c r="B906" t="s">
        <v>1081</v>
      </c>
      <c r="C906" t="s">
        <v>16</v>
      </c>
      <c r="D906" t="s">
        <v>17</v>
      </c>
      <c r="E906" t="s">
        <v>3</v>
      </c>
      <c r="F906" t="s">
        <v>18</v>
      </c>
      <c r="G906">
        <v>226.46</v>
      </c>
      <c r="H906">
        <v>7</v>
      </c>
      <c r="I906">
        <v>-59.1</v>
      </c>
    </row>
    <row r="907" spans="1:9" x14ac:dyDescent="0.35">
      <c r="A907" t="s">
        <v>1086</v>
      </c>
      <c r="B907" t="s">
        <v>1081</v>
      </c>
      <c r="C907" t="s">
        <v>34</v>
      </c>
      <c r="D907" t="s">
        <v>17</v>
      </c>
      <c r="E907" t="s">
        <v>4</v>
      </c>
      <c r="F907" t="s">
        <v>39</v>
      </c>
      <c r="G907">
        <v>305.42</v>
      </c>
      <c r="H907">
        <v>7</v>
      </c>
      <c r="I907">
        <v>86.72</v>
      </c>
    </row>
    <row r="908" spans="1:9" x14ac:dyDescent="0.35">
      <c r="A908" t="s">
        <v>1087</v>
      </c>
      <c r="B908" t="s">
        <v>1088</v>
      </c>
      <c r="C908" t="s">
        <v>16</v>
      </c>
      <c r="D908" t="s">
        <v>38</v>
      </c>
      <c r="E908" t="s">
        <v>4</v>
      </c>
      <c r="F908" t="s">
        <v>24</v>
      </c>
      <c r="G908">
        <v>70.56</v>
      </c>
      <c r="H908">
        <v>4</v>
      </c>
      <c r="I908">
        <v>5.74</v>
      </c>
    </row>
    <row r="909" spans="1:9" x14ac:dyDescent="0.35">
      <c r="A909" t="s">
        <v>1089</v>
      </c>
      <c r="B909" t="s">
        <v>1088</v>
      </c>
      <c r="C909" t="s">
        <v>22</v>
      </c>
      <c r="D909" t="s">
        <v>17</v>
      </c>
      <c r="E909" t="s">
        <v>3</v>
      </c>
      <c r="F909" t="s">
        <v>49</v>
      </c>
      <c r="G909">
        <v>173.43</v>
      </c>
      <c r="H909">
        <v>2</v>
      </c>
      <c r="I909">
        <v>11.5</v>
      </c>
    </row>
    <row r="910" spans="1:9" x14ac:dyDescent="0.35">
      <c r="A910" t="s">
        <v>1090</v>
      </c>
      <c r="B910" t="s">
        <v>1088</v>
      </c>
      <c r="C910" t="s">
        <v>34</v>
      </c>
      <c r="D910" t="s">
        <v>23</v>
      </c>
      <c r="E910" t="s">
        <v>5</v>
      </c>
      <c r="F910" t="s">
        <v>31</v>
      </c>
      <c r="G910">
        <v>76.569999999999993</v>
      </c>
      <c r="H910">
        <v>3</v>
      </c>
      <c r="I910">
        <v>27.33</v>
      </c>
    </row>
    <row r="911" spans="1:9" x14ac:dyDescent="0.35">
      <c r="A911" t="s">
        <v>1091</v>
      </c>
      <c r="B911" t="s">
        <v>1088</v>
      </c>
      <c r="C911" t="s">
        <v>34</v>
      </c>
      <c r="D911" t="s">
        <v>38</v>
      </c>
      <c r="E911" t="s">
        <v>3</v>
      </c>
      <c r="F911" t="s">
        <v>49</v>
      </c>
      <c r="G911">
        <v>495.41</v>
      </c>
      <c r="H911">
        <v>8</v>
      </c>
      <c r="I911">
        <v>-88.48</v>
      </c>
    </row>
    <row r="912" spans="1:9" x14ac:dyDescent="0.35">
      <c r="A912" t="s">
        <v>1092</v>
      </c>
      <c r="B912" t="s">
        <v>1088</v>
      </c>
      <c r="C912" t="s">
        <v>16</v>
      </c>
      <c r="D912" t="s">
        <v>38</v>
      </c>
      <c r="E912" t="s">
        <v>3</v>
      </c>
      <c r="F912" t="s">
        <v>27</v>
      </c>
      <c r="G912">
        <v>25.1</v>
      </c>
      <c r="H912">
        <v>8</v>
      </c>
      <c r="I912">
        <v>-3.99</v>
      </c>
    </row>
    <row r="913" spans="1:9" x14ac:dyDescent="0.35">
      <c r="A913" t="s">
        <v>1093</v>
      </c>
      <c r="B913" t="s">
        <v>1088</v>
      </c>
      <c r="C913" t="s">
        <v>26</v>
      </c>
      <c r="D913" t="s">
        <v>23</v>
      </c>
      <c r="E913" t="s">
        <v>5</v>
      </c>
      <c r="F913" t="s">
        <v>31</v>
      </c>
      <c r="G913">
        <v>150.05000000000001</v>
      </c>
      <c r="H913">
        <v>6</v>
      </c>
      <c r="I913">
        <v>75.930000000000007</v>
      </c>
    </row>
    <row r="914" spans="1:9" x14ac:dyDescent="0.35">
      <c r="A914" t="s">
        <v>1094</v>
      </c>
      <c r="B914" t="s">
        <v>1095</v>
      </c>
      <c r="C914" t="s">
        <v>16</v>
      </c>
      <c r="D914" t="s">
        <v>38</v>
      </c>
      <c r="E914" t="s">
        <v>4</v>
      </c>
      <c r="F914" t="s">
        <v>20</v>
      </c>
      <c r="G914">
        <v>47.32</v>
      </c>
      <c r="H914">
        <v>9</v>
      </c>
      <c r="I914">
        <v>15.38</v>
      </c>
    </row>
    <row r="915" spans="1:9" x14ac:dyDescent="0.35">
      <c r="A915" t="s">
        <v>1096</v>
      </c>
      <c r="B915" t="s">
        <v>1095</v>
      </c>
      <c r="C915" t="s">
        <v>22</v>
      </c>
      <c r="D915" t="s">
        <v>17</v>
      </c>
      <c r="E915" t="s">
        <v>3</v>
      </c>
      <c r="F915" t="s">
        <v>27</v>
      </c>
      <c r="G915">
        <v>206.83</v>
      </c>
      <c r="H915">
        <v>9</v>
      </c>
      <c r="I915">
        <v>-10.99</v>
      </c>
    </row>
    <row r="916" spans="1:9" x14ac:dyDescent="0.35">
      <c r="A916" t="s">
        <v>1097</v>
      </c>
      <c r="B916" t="s">
        <v>1095</v>
      </c>
      <c r="C916" t="s">
        <v>22</v>
      </c>
      <c r="D916" t="s">
        <v>17</v>
      </c>
      <c r="E916" t="s">
        <v>3</v>
      </c>
      <c r="F916" t="s">
        <v>18</v>
      </c>
      <c r="G916">
        <v>49.02</v>
      </c>
      <c r="H916">
        <v>4</v>
      </c>
      <c r="I916">
        <v>-1.19</v>
      </c>
    </row>
    <row r="917" spans="1:9" x14ac:dyDescent="0.35">
      <c r="A917" t="s">
        <v>1098</v>
      </c>
      <c r="B917" t="s">
        <v>1095</v>
      </c>
      <c r="C917" t="s">
        <v>22</v>
      </c>
      <c r="D917" t="s">
        <v>17</v>
      </c>
      <c r="E917" t="s">
        <v>3</v>
      </c>
      <c r="F917" t="s">
        <v>18</v>
      </c>
      <c r="G917">
        <v>60.26</v>
      </c>
      <c r="H917">
        <v>1</v>
      </c>
      <c r="I917">
        <v>-6.81</v>
      </c>
    </row>
    <row r="918" spans="1:9" x14ac:dyDescent="0.35">
      <c r="A918" t="s">
        <v>1099</v>
      </c>
      <c r="B918" t="s">
        <v>1095</v>
      </c>
      <c r="C918" t="s">
        <v>22</v>
      </c>
      <c r="D918" t="s">
        <v>23</v>
      </c>
      <c r="E918" t="s">
        <v>5</v>
      </c>
      <c r="F918" t="s">
        <v>29</v>
      </c>
      <c r="G918">
        <v>122.29</v>
      </c>
      <c r="H918">
        <v>1</v>
      </c>
      <c r="I918">
        <v>35.86</v>
      </c>
    </row>
    <row r="919" spans="1:9" x14ac:dyDescent="0.35">
      <c r="A919" t="s">
        <v>1100</v>
      </c>
      <c r="B919" t="s">
        <v>1095</v>
      </c>
      <c r="C919" t="s">
        <v>22</v>
      </c>
      <c r="D919" t="s">
        <v>23</v>
      </c>
      <c r="E919" t="s">
        <v>4</v>
      </c>
      <c r="F919" t="s">
        <v>39</v>
      </c>
      <c r="G919">
        <v>389.47</v>
      </c>
      <c r="H919">
        <v>5</v>
      </c>
      <c r="I919">
        <v>30.49</v>
      </c>
    </row>
    <row r="920" spans="1:9" x14ac:dyDescent="0.35">
      <c r="A920" t="s">
        <v>1101</v>
      </c>
      <c r="B920" t="s">
        <v>1102</v>
      </c>
      <c r="C920" t="s">
        <v>26</v>
      </c>
      <c r="D920" t="s">
        <v>17</v>
      </c>
      <c r="E920" t="s">
        <v>4</v>
      </c>
      <c r="F920" t="s">
        <v>39</v>
      </c>
      <c r="G920">
        <v>55.68</v>
      </c>
      <c r="H920">
        <v>2</v>
      </c>
      <c r="I920">
        <v>-2.96</v>
      </c>
    </row>
    <row r="921" spans="1:9" x14ac:dyDescent="0.35">
      <c r="A921" t="s">
        <v>1103</v>
      </c>
      <c r="B921" t="s">
        <v>1102</v>
      </c>
      <c r="C921" t="s">
        <v>34</v>
      </c>
      <c r="D921" t="s">
        <v>17</v>
      </c>
      <c r="E921" t="s">
        <v>5</v>
      </c>
      <c r="F921" t="s">
        <v>41</v>
      </c>
      <c r="G921">
        <v>43.36</v>
      </c>
      <c r="H921">
        <v>6</v>
      </c>
      <c r="I921">
        <v>5.1100000000000003</v>
      </c>
    </row>
    <row r="922" spans="1:9" x14ac:dyDescent="0.35">
      <c r="A922" t="s">
        <v>1104</v>
      </c>
      <c r="B922" t="s">
        <v>1102</v>
      </c>
      <c r="C922" t="s">
        <v>16</v>
      </c>
      <c r="D922" t="s">
        <v>23</v>
      </c>
      <c r="E922" t="s">
        <v>4</v>
      </c>
      <c r="F922" t="s">
        <v>39</v>
      </c>
      <c r="G922">
        <v>233.43</v>
      </c>
      <c r="H922">
        <v>7</v>
      </c>
      <c r="I922">
        <v>35.51</v>
      </c>
    </row>
    <row r="923" spans="1:9" x14ac:dyDescent="0.35">
      <c r="A923" t="s">
        <v>1105</v>
      </c>
      <c r="B923" t="s">
        <v>1102</v>
      </c>
      <c r="C923" t="s">
        <v>16</v>
      </c>
      <c r="D923" t="s">
        <v>17</v>
      </c>
      <c r="E923" t="s">
        <v>3</v>
      </c>
      <c r="F923" t="s">
        <v>27</v>
      </c>
      <c r="G923">
        <v>124.16</v>
      </c>
      <c r="H923">
        <v>1</v>
      </c>
      <c r="I923">
        <v>-20.25</v>
      </c>
    </row>
    <row r="924" spans="1:9" x14ac:dyDescent="0.35">
      <c r="A924" t="s">
        <v>1106</v>
      </c>
      <c r="B924" t="s">
        <v>1102</v>
      </c>
      <c r="C924" t="s">
        <v>22</v>
      </c>
      <c r="D924" t="s">
        <v>23</v>
      </c>
      <c r="E924" t="s">
        <v>4</v>
      </c>
      <c r="F924" t="s">
        <v>24</v>
      </c>
      <c r="G924">
        <v>384.2</v>
      </c>
      <c r="H924">
        <v>6</v>
      </c>
      <c r="I924">
        <v>55.05</v>
      </c>
    </row>
    <row r="925" spans="1:9" x14ac:dyDescent="0.35">
      <c r="A925" t="s">
        <v>1107</v>
      </c>
      <c r="B925" t="s">
        <v>1102</v>
      </c>
      <c r="C925" t="s">
        <v>16</v>
      </c>
      <c r="D925" t="s">
        <v>23</v>
      </c>
      <c r="E925" t="s">
        <v>4</v>
      </c>
      <c r="F925" t="s">
        <v>39</v>
      </c>
      <c r="G925">
        <v>43.78</v>
      </c>
      <c r="H925">
        <v>8</v>
      </c>
      <c r="I925">
        <v>1.86</v>
      </c>
    </row>
    <row r="926" spans="1:9" x14ac:dyDescent="0.35">
      <c r="A926" t="s">
        <v>1108</v>
      </c>
      <c r="B926" t="s">
        <v>1109</v>
      </c>
      <c r="C926" t="s">
        <v>22</v>
      </c>
      <c r="D926" t="s">
        <v>23</v>
      </c>
      <c r="E926" t="s">
        <v>3</v>
      </c>
      <c r="F926" t="s">
        <v>27</v>
      </c>
      <c r="G926">
        <v>175.74</v>
      </c>
      <c r="H926">
        <v>5</v>
      </c>
      <c r="I926">
        <v>-22.54</v>
      </c>
    </row>
    <row r="927" spans="1:9" x14ac:dyDescent="0.35">
      <c r="A927" t="s">
        <v>1110</v>
      </c>
      <c r="B927" t="s">
        <v>1109</v>
      </c>
      <c r="C927" t="s">
        <v>26</v>
      </c>
      <c r="D927" t="s">
        <v>23</v>
      </c>
      <c r="E927" t="s">
        <v>5</v>
      </c>
      <c r="F927" t="s">
        <v>31</v>
      </c>
      <c r="G927">
        <v>59.77</v>
      </c>
      <c r="H927">
        <v>7</v>
      </c>
      <c r="I927">
        <v>20.04</v>
      </c>
    </row>
    <row r="928" spans="1:9" x14ac:dyDescent="0.35">
      <c r="A928" t="s">
        <v>1111</v>
      </c>
      <c r="B928" t="s">
        <v>1109</v>
      </c>
      <c r="C928" t="s">
        <v>26</v>
      </c>
      <c r="D928" t="s">
        <v>38</v>
      </c>
      <c r="E928" t="s">
        <v>5</v>
      </c>
      <c r="F928" t="s">
        <v>29</v>
      </c>
      <c r="G928">
        <v>45.58</v>
      </c>
      <c r="H928">
        <v>6</v>
      </c>
      <c r="I928">
        <v>12.52</v>
      </c>
    </row>
    <row r="929" spans="1:9" x14ac:dyDescent="0.35">
      <c r="A929" t="s">
        <v>1112</v>
      </c>
      <c r="B929" t="s">
        <v>1109</v>
      </c>
      <c r="C929" t="s">
        <v>34</v>
      </c>
      <c r="D929" t="s">
        <v>17</v>
      </c>
      <c r="E929" t="s">
        <v>3</v>
      </c>
      <c r="F929" t="s">
        <v>18</v>
      </c>
      <c r="G929">
        <v>192.53</v>
      </c>
      <c r="H929">
        <v>4</v>
      </c>
      <c r="I929">
        <v>-9.81</v>
      </c>
    </row>
    <row r="930" spans="1:9" x14ac:dyDescent="0.35">
      <c r="A930" t="s">
        <v>1113</v>
      </c>
      <c r="B930" t="s">
        <v>1109</v>
      </c>
      <c r="C930" t="s">
        <v>26</v>
      </c>
      <c r="D930" t="s">
        <v>23</v>
      </c>
      <c r="E930" t="s">
        <v>4</v>
      </c>
      <c r="F930" t="s">
        <v>20</v>
      </c>
      <c r="G930">
        <v>155.09</v>
      </c>
      <c r="H930">
        <v>7</v>
      </c>
      <c r="I930">
        <v>36.9</v>
      </c>
    </row>
    <row r="931" spans="1:9" x14ac:dyDescent="0.35">
      <c r="A931" t="s">
        <v>1114</v>
      </c>
      <c r="B931" t="s">
        <v>1109</v>
      </c>
      <c r="C931" t="s">
        <v>26</v>
      </c>
      <c r="D931" t="s">
        <v>23</v>
      </c>
      <c r="E931" t="s">
        <v>5</v>
      </c>
      <c r="F931" t="s">
        <v>29</v>
      </c>
      <c r="G931">
        <v>230.87</v>
      </c>
      <c r="H931">
        <v>9</v>
      </c>
      <c r="I931">
        <v>68.81</v>
      </c>
    </row>
    <row r="932" spans="1:9" x14ac:dyDescent="0.35">
      <c r="A932" t="s">
        <v>1115</v>
      </c>
      <c r="B932" t="s">
        <v>1116</v>
      </c>
      <c r="C932" t="s">
        <v>34</v>
      </c>
      <c r="D932" t="s">
        <v>17</v>
      </c>
      <c r="E932" t="s">
        <v>5</v>
      </c>
      <c r="F932" t="s">
        <v>31</v>
      </c>
      <c r="G932">
        <v>75.540000000000006</v>
      </c>
      <c r="H932">
        <v>7</v>
      </c>
      <c r="I932">
        <v>29.81</v>
      </c>
    </row>
    <row r="933" spans="1:9" x14ac:dyDescent="0.35">
      <c r="A933" t="s">
        <v>1117</v>
      </c>
      <c r="B933" t="s">
        <v>1116</v>
      </c>
      <c r="C933" t="s">
        <v>16</v>
      </c>
      <c r="D933" t="s">
        <v>17</v>
      </c>
      <c r="E933" t="s">
        <v>4</v>
      </c>
      <c r="F933" t="s">
        <v>39</v>
      </c>
      <c r="G933">
        <v>109.12</v>
      </c>
      <c r="H933">
        <v>5</v>
      </c>
      <c r="I933">
        <v>11.35</v>
      </c>
    </row>
    <row r="934" spans="1:9" x14ac:dyDescent="0.35">
      <c r="A934" t="s">
        <v>1118</v>
      </c>
      <c r="B934" t="s">
        <v>1116</v>
      </c>
      <c r="C934" t="s">
        <v>22</v>
      </c>
      <c r="D934" t="s">
        <v>17</v>
      </c>
      <c r="E934" t="s">
        <v>4</v>
      </c>
      <c r="F934" t="s">
        <v>24</v>
      </c>
      <c r="G934">
        <v>98</v>
      </c>
      <c r="H934">
        <v>7</v>
      </c>
      <c r="I934">
        <v>10.49</v>
      </c>
    </row>
    <row r="935" spans="1:9" x14ac:dyDescent="0.35">
      <c r="A935" t="s">
        <v>1119</v>
      </c>
      <c r="B935" t="s">
        <v>1116</v>
      </c>
      <c r="C935" t="s">
        <v>22</v>
      </c>
      <c r="D935" t="s">
        <v>17</v>
      </c>
      <c r="E935" t="s">
        <v>3</v>
      </c>
      <c r="F935" t="s">
        <v>27</v>
      </c>
      <c r="G935">
        <v>641.12</v>
      </c>
      <c r="H935">
        <v>3</v>
      </c>
      <c r="I935">
        <v>-115.47</v>
      </c>
    </row>
    <row r="936" spans="1:9" x14ac:dyDescent="0.35">
      <c r="A936" t="s">
        <v>1120</v>
      </c>
      <c r="B936" t="s">
        <v>1116</v>
      </c>
      <c r="C936" t="s">
        <v>16</v>
      </c>
      <c r="D936" t="s">
        <v>23</v>
      </c>
      <c r="E936" t="s">
        <v>5</v>
      </c>
      <c r="F936" t="s">
        <v>31</v>
      </c>
      <c r="G936">
        <v>71.849999999999994</v>
      </c>
      <c r="H936">
        <v>2</v>
      </c>
      <c r="I936">
        <v>14.88</v>
      </c>
    </row>
    <row r="937" spans="1:9" x14ac:dyDescent="0.35">
      <c r="A937" t="s">
        <v>1121</v>
      </c>
      <c r="B937" t="s">
        <v>1116</v>
      </c>
      <c r="C937" t="s">
        <v>34</v>
      </c>
      <c r="D937" t="s">
        <v>38</v>
      </c>
      <c r="E937" t="s">
        <v>5</v>
      </c>
      <c r="F937" t="s">
        <v>29</v>
      </c>
      <c r="G937">
        <v>72.39</v>
      </c>
      <c r="H937">
        <v>5</v>
      </c>
      <c r="I937">
        <v>25.08</v>
      </c>
    </row>
    <row r="938" spans="1:9" x14ac:dyDescent="0.35">
      <c r="A938" t="s">
        <v>1122</v>
      </c>
      <c r="B938" t="s">
        <v>1123</v>
      </c>
      <c r="C938" t="s">
        <v>16</v>
      </c>
      <c r="D938" t="s">
        <v>17</v>
      </c>
      <c r="E938" t="s">
        <v>5</v>
      </c>
      <c r="F938" t="s">
        <v>29</v>
      </c>
      <c r="G938">
        <v>85.67</v>
      </c>
      <c r="H938">
        <v>4</v>
      </c>
      <c r="I938">
        <v>32.549999999999997</v>
      </c>
    </row>
    <row r="939" spans="1:9" x14ac:dyDescent="0.35">
      <c r="A939" t="s">
        <v>1124</v>
      </c>
      <c r="B939" t="s">
        <v>1123</v>
      </c>
      <c r="C939" t="s">
        <v>26</v>
      </c>
      <c r="D939" t="s">
        <v>17</v>
      </c>
      <c r="E939" t="s">
        <v>4</v>
      </c>
      <c r="F939" t="s">
        <v>20</v>
      </c>
      <c r="G939">
        <v>144.72</v>
      </c>
      <c r="H939">
        <v>5</v>
      </c>
      <c r="I939">
        <v>35.61</v>
      </c>
    </row>
    <row r="940" spans="1:9" x14ac:dyDescent="0.35">
      <c r="A940" t="s">
        <v>1125</v>
      </c>
      <c r="B940" t="s">
        <v>1123</v>
      </c>
      <c r="C940" t="s">
        <v>34</v>
      </c>
      <c r="D940" t="s">
        <v>38</v>
      </c>
      <c r="E940" t="s">
        <v>5</v>
      </c>
      <c r="F940" t="s">
        <v>41</v>
      </c>
      <c r="G940">
        <v>63.62</v>
      </c>
      <c r="H940">
        <v>8</v>
      </c>
      <c r="I940">
        <v>4.49</v>
      </c>
    </row>
    <row r="941" spans="1:9" x14ac:dyDescent="0.35">
      <c r="A941" t="s">
        <v>1126</v>
      </c>
      <c r="B941" t="s">
        <v>1123</v>
      </c>
      <c r="C941" t="s">
        <v>34</v>
      </c>
      <c r="D941" t="s">
        <v>17</v>
      </c>
      <c r="E941" t="s">
        <v>3</v>
      </c>
      <c r="F941" t="s">
        <v>27</v>
      </c>
      <c r="G941">
        <v>390.28</v>
      </c>
      <c r="H941">
        <v>4</v>
      </c>
      <c r="I941">
        <v>22.76</v>
      </c>
    </row>
    <row r="942" spans="1:9" x14ac:dyDescent="0.35">
      <c r="A942" t="s">
        <v>1127</v>
      </c>
      <c r="B942" t="s">
        <v>1123</v>
      </c>
      <c r="C942" t="s">
        <v>34</v>
      </c>
      <c r="D942" t="s">
        <v>17</v>
      </c>
      <c r="E942" t="s">
        <v>5</v>
      </c>
      <c r="F942" t="s">
        <v>41</v>
      </c>
      <c r="G942">
        <v>66.319999999999993</v>
      </c>
      <c r="H942">
        <v>9</v>
      </c>
      <c r="I942">
        <v>4.3899999999999997</v>
      </c>
    </row>
    <row r="943" spans="1:9" x14ac:dyDescent="0.35">
      <c r="A943" t="s">
        <v>1128</v>
      </c>
      <c r="B943" t="s">
        <v>1123</v>
      </c>
      <c r="C943" t="s">
        <v>22</v>
      </c>
      <c r="D943" t="s">
        <v>23</v>
      </c>
      <c r="E943" t="s">
        <v>3</v>
      </c>
      <c r="F943" t="s">
        <v>18</v>
      </c>
      <c r="G943">
        <v>359.24</v>
      </c>
      <c r="H943">
        <v>7</v>
      </c>
      <c r="I943">
        <v>14.3</v>
      </c>
    </row>
    <row r="944" spans="1:9" x14ac:dyDescent="0.35">
      <c r="A944" t="s">
        <v>1129</v>
      </c>
      <c r="B944" t="s">
        <v>1130</v>
      </c>
      <c r="C944" t="s">
        <v>16</v>
      </c>
      <c r="D944" t="s">
        <v>23</v>
      </c>
      <c r="E944" t="s">
        <v>4</v>
      </c>
      <c r="F944" t="s">
        <v>39</v>
      </c>
      <c r="G944">
        <v>36.380000000000003</v>
      </c>
      <c r="H944">
        <v>7</v>
      </c>
      <c r="I944">
        <v>4.12</v>
      </c>
    </row>
    <row r="945" spans="1:9" x14ac:dyDescent="0.35">
      <c r="A945" t="s">
        <v>1131</v>
      </c>
      <c r="B945" t="s">
        <v>1130</v>
      </c>
      <c r="C945" t="s">
        <v>34</v>
      </c>
      <c r="D945" t="s">
        <v>17</v>
      </c>
      <c r="E945" t="s">
        <v>4</v>
      </c>
      <c r="F945" t="s">
        <v>24</v>
      </c>
      <c r="G945">
        <v>180.31</v>
      </c>
      <c r="H945">
        <v>8</v>
      </c>
      <c r="I945">
        <v>39.71</v>
      </c>
    </row>
    <row r="946" spans="1:9" x14ac:dyDescent="0.35">
      <c r="A946" t="s">
        <v>1132</v>
      </c>
      <c r="B946" t="s">
        <v>1130</v>
      </c>
      <c r="C946" t="s">
        <v>34</v>
      </c>
      <c r="D946" t="s">
        <v>17</v>
      </c>
      <c r="E946" t="s">
        <v>5</v>
      </c>
      <c r="F946" t="s">
        <v>31</v>
      </c>
      <c r="G946">
        <v>376.25</v>
      </c>
      <c r="H946">
        <v>6</v>
      </c>
      <c r="I946">
        <v>43.93</v>
      </c>
    </row>
    <row r="947" spans="1:9" x14ac:dyDescent="0.35">
      <c r="A947" t="s">
        <v>1133</v>
      </c>
      <c r="B947" t="s">
        <v>1130</v>
      </c>
      <c r="C947" t="s">
        <v>34</v>
      </c>
      <c r="D947" t="s">
        <v>17</v>
      </c>
      <c r="E947" t="s">
        <v>5</v>
      </c>
      <c r="F947" t="s">
        <v>29</v>
      </c>
      <c r="G947">
        <v>47.72</v>
      </c>
      <c r="H947">
        <v>8</v>
      </c>
      <c r="I947">
        <v>17.52</v>
      </c>
    </row>
    <row r="948" spans="1:9" x14ac:dyDescent="0.35">
      <c r="A948" t="s">
        <v>1134</v>
      </c>
      <c r="B948" t="s">
        <v>1130</v>
      </c>
      <c r="C948" t="s">
        <v>16</v>
      </c>
      <c r="D948" t="s">
        <v>23</v>
      </c>
      <c r="E948" t="s">
        <v>5</v>
      </c>
      <c r="F948" t="s">
        <v>29</v>
      </c>
      <c r="G948">
        <v>537.84</v>
      </c>
      <c r="H948">
        <v>3</v>
      </c>
      <c r="I948">
        <v>55.67</v>
      </c>
    </row>
    <row r="949" spans="1:9" x14ac:dyDescent="0.35">
      <c r="A949" t="s">
        <v>1135</v>
      </c>
      <c r="B949" t="s">
        <v>1130</v>
      </c>
      <c r="C949" t="s">
        <v>22</v>
      </c>
      <c r="D949" t="s">
        <v>23</v>
      </c>
      <c r="E949" t="s">
        <v>4</v>
      </c>
      <c r="F949" t="s">
        <v>39</v>
      </c>
      <c r="G949">
        <v>110.46</v>
      </c>
      <c r="H949">
        <v>1</v>
      </c>
      <c r="I949">
        <v>9.19</v>
      </c>
    </row>
    <row r="950" spans="1:9" x14ac:dyDescent="0.35">
      <c r="A950" t="s">
        <v>1136</v>
      </c>
      <c r="B950" t="s">
        <v>1137</v>
      </c>
      <c r="C950" t="s">
        <v>26</v>
      </c>
      <c r="D950" t="s">
        <v>17</v>
      </c>
      <c r="E950" t="s">
        <v>4</v>
      </c>
      <c r="F950" t="s">
        <v>20</v>
      </c>
      <c r="G950">
        <v>457.03</v>
      </c>
      <c r="H950">
        <v>6</v>
      </c>
      <c r="I950">
        <v>22.94</v>
      </c>
    </row>
    <row r="951" spans="1:9" x14ac:dyDescent="0.35">
      <c r="A951" t="s">
        <v>1138</v>
      </c>
      <c r="B951" t="s">
        <v>1137</v>
      </c>
      <c r="C951" t="s">
        <v>22</v>
      </c>
      <c r="D951" t="s">
        <v>23</v>
      </c>
      <c r="E951" t="s">
        <v>3</v>
      </c>
      <c r="F951" t="s">
        <v>18</v>
      </c>
      <c r="G951">
        <v>189.43</v>
      </c>
      <c r="H951">
        <v>1</v>
      </c>
      <c r="I951">
        <v>-42.7</v>
      </c>
    </row>
    <row r="952" spans="1:9" x14ac:dyDescent="0.35">
      <c r="A952" t="s">
        <v>1139</v>
      </c>
      <c r="B952" t="s">
        <v>1137</v>
      </c>
      <c r="C952" t="s">
        <v>34</v>
      </c>
      <c r="D952" t="s">
        <v>38</v>
      </c>
      <c r="E952" t="s">
        <v>4</v>
      </c>
      <c r="F952" t="s">
        <v>24</v>
      </c>
      <c r="G952">
        <v>73.84</v>
      </c>
      <c r="H952">
        <v>9</v>
      </c>
      <c r="I952">
        <v>11.77</v>
      </c>
    </row>
    <row r="953" spans="1:9" x14ac:dyDescent="0.35">
      <c r="A953" t="s">
        <v>1140</v>
      </c>
      <c r="B953" t="s">
        <v>1137</v>
      </c>
      <c r="C953" t="s">
        <v>22</v>
      </c>
      <c r="D953" t="s">
        <v>17</v>
      </c>
      <c r="E953" t="s">
        <v>4</v>
      </c>
      <c r="F953" t="s">
        <v>20</v>
      </c>
      <c r="G953">
        <v>51.29</v>
      </c>
      <c r="H953">
        <v>2</v>
      </c>
      <c r="I953">
        <v>16.96</v>
      </c>
    </row>
    <row r="954" spans="1:9" x14ac:dyDescent="0.35">
      <c r="A954" t="s">
        <v>1141</v>
      </c>
      <c r="B954" t="s">
        <v>1137</v>
      </c>
      <c r="C954" t="s">
        <v>22</v>
      </c>
      <c r="D954" t="s">
        <v>17</v>
      </c>
      <c r="E954" t="s">
        <v>5</v>
      </c>
      <c r="F954" t="s">
        <v>29</v>
      </c>
      <c r="G954">
        <v>74.3</v>
      </c>
      <c r="H954">
        <v>2</v>
      </c>
      <c r="I954">
        <v>38.39</v>
      </c>
    </row>
    <row r="955" spans="1:9" x14ac:dyDescent="0.35">
      <c r="A955" t="s">
        <v>1142</v>
      </c>
      <c r="B955" t="s">
        <v>1137</v>
      </c>
      <c r="C955" t="s">
        <v>26</v>
      </c>
      <c r="D955" t="s">
        <v>23</v>
      </c>
      <c r="E955" t="s">
        <v>4</v>
      </c>
      <c r="F955" t="s">
        <v>24</v>
      </c>
      <c r="G955">
        <v>34.64</v>
      </c>
      <c r="H955">
        <v>7</v>
      </c>
      <c r="I955">
        <v>5.53</v>
      </c>
    </row>
    <row r="956" spans="1:9" x14ac:dyDescent="0.35">
      <c r="A956" t="s">
        <v>1143</v>
      </c>
      <c r="B956" t="s">
        <v>1144</v>
      </c>
      <c r="C956" t="s">
        <v>16</v>
      </c>
      <c r="D956" t="s">
        <v>17</v>
      </c>
      <c r="E956" t="s">
        <v>3</v>
      </c>
      <c r="F956" t="s">
        <v>27</v>
      </c>
      <c r="G956">
        <v>43.3</v>
      </c>
      <c r="H956">
        <v>2</v>
      </c>
      <c r="I956">
        <v>2.67</v>
      </c>
    </row>
    <row r="957" spans="1:9" x14ac:dyDescent="0.35">
      <c r="A957" t="s">
        <v>1145</v>
      </c>
      <c r="B957" t="s">
        <v>1144</v>
      </c>
      <c r="C957" t="s">
        <v>16</v>
      </c>
      <c r="D957" t="s">
        <v>17</v>
      </c>
      <c r="E957" t="s">
        <v>3</v>
      </c>
      <c r="F957" t="s">
        <v>49</v>
      </c>
      <c r="G957">
        <v>36.58</v>
      </c>
      <c r="H957">
        <v>8</v>
      </c>
      <c r="I957">
        <v>-0.98</v>
      </c>
    </row>
    <row r="958" spans="1:9" x14ac:dyDescent="0.35">
      <c r="A958" t="s">
        <v>1146</v>
      </c>
      <c r="B958" t="s">
        <v>1144</v>
      </c>
      <c r="C958" t="s">
        <v>22</v>
      </c>
      <c r="D958" t="s">
        <v>23</v>
      </c>
      <c r="E958" t="s">
        <v>3</v>
      </c>
      <c r="F958" t="s">
        <v>18</v>
      </c>
      <c r="G958">
        <v>102.47</v>
      </c>
      <c r="H958">
        <v>6</v>
      </c>
      <c r="I958">
        <v>-0.01</v>
      </c>
    </row>
    <row r="959" spans="1:9" x14ac:dyDescent="0.35">
      <c r="A959" t="s">
        <v>1147</v>
      </c>
      <c r="B959" t="s">
        <v>1144</v>
      </c>
      <c r="C959" t="s">
        <v>22</v>
      </c>
      <c r="D959" t="s">
        <v>38</v>
      </c>
      <c r="E959" t="s">
        <v>5</v>
      </c>
      <c r="F959" t="s">
        <v>31</v>
      </c>
      <c r="G959">
        <v>258.14</v>
      </c>
      <c r="H959">
        <v>7</v>
      </c>
      <c r="I959">
        <v>55.7</v>
      </c>
    </row>
    <row r="960" spans="1:9" x14ac:dyDescent="0.35">
      <c r="A960" t="s">
        <v>1148</v>
      </c>
      <c r="B960" t="s">
        <v>1144</v>
      </c>
      <c r="C960" t="s">
        <v>16</v>
      </c>
      <c r="D960" t="s">
        <v>38</v>
      </c>
      <c r="E960" t="s">
        <v>5</v>
      </c>
      <c r="F960" t="s">
        <v>41</v>
      </c>
      <c r="G960">
        <v>42.86</v>
      </c>
      <c r="H960">
        <v>7</v>
      </c>
      <c r="I960">
        <v>11.55</v>
      </c>
    </row>
    <row r="961" spans="1:9" x14ac:dyDescent="0.35">
      <c r="A961" t="s">
        <v>1149</v>
      </c>
      <c r="B961" t="s">
        <v>1144</v>
      </c>
      <c r="C961" t="s">
        <v>16</v>
      </c>
      <c r="D961" t="s">
        <v>23</v>
      </c>
      <c r="E961" t="s">
        <v>4</v>
      </c>
      <c r="F961" t="s">
        <v>39</v>
      </c>
      <c r="G961">
        <v>40.94</v>
      </c>
      <c r="H961">
        <v>6</v>
      </c>
      <c r="I961">
        <v>8.34</v>
      </c>
    </row>
    <row r="962" spans="1:9" x14ac:dyDescent="0.35">
      <c r="A962" t="s">
        <v>1150</v>
      </c>
      <c r="B962" t="s">
        <v>1151</v>
      </c>
      <c r="C962" t="s">
        <v>26</v>
      </c>
      <c r="D962" t="s">
        <v>23</v>
      </c>
      <c r="E962" t="s">
        <v>5</v>
      </c>
      <c r="F962" t="s">
        <v>29</v>
      </c>
      <c r="G962">
        <v>174.68</v>
      </c>
      <c r="H962">
        <v>9</v>
      </c>
      <c r="I962">
        <v>33.57</v>
      </c>
    </row>
    <row r="963" spans="1:9" x14ac:dyDescent="0.35">
      <c r="A963" t="s">
        <v>1152</v>
      </c>
      <c r="B963" t="s">
        <v>1151</v>
      </c>
      <c r="C963" t="s">
        <v>34</v>
      </c>
      <c r="D963" t="s">
        <v>17</v>
      </c>
      <c r="E963" t="s">
        <v>4</v>
      </c>
      <c r="F963" t="s">
        <v>20</v>
      </c>
      <c r="G963">
        <v>52.94</v>
      </c>
      <c r="H963">
        <v>9</v>
      </c>
      <c r="I963">
        <v>7.53</v>
      </c>
    </row>
    <row r="964" spans="1:9" x14ac:dyDescent="0.35">
      <c r="A964" t="s">
        <v>1153</v>
      </c>
      <c r="B964" t="s">
        <v>1151</v>
      </c>
      <c r="C964" t="s">
        <v>22</v>
      </c>
      <c r="D964" t="s">
        <v>23</v>
      </c>
      <c r="E964" t="s">
        <v>5</v>
      </c>
      <c r="F964" t="s">
        <v>41</v>
      </c>
      <c r="G964">
        <v>35.409999999999997</v>
      </c>
      <c r="H964">
        <v>7</v>
      </c>
      <c r="I964">
        <v>8.65</v>
      </c>
    </row>
    <row r="965" spans="1:9" x14ac:dyDescent="0.35">
      <c r="A965" t="s">
        <v>1154</v>
      </c>
      <c r="B965" t="s">
        <v>1151</v>
      </c>
      <c r="C965" t="s">
        <v>16</v>
      </c>
      <c r="D965" t="s">
        <v>17</v>
      </c>
      <c r="E965" t="s">
        <v>3</v>
      </c>
      <c r="F965" t="s">
        <v>27</v>
      </c>
      <c r="G965">
        <v>47.38</v>
      </c>
      <c r="H965">
        <v>9</v>
      </c>
      <c r="I965">
        <v>1.55</v>
      </c>
    </row>
    <row r="966" spans="1:9" x14ac:dyDescent="0.35">
      <c r="A966" t="s">
        <v>1155</v>
      </c>
      <c r="B966" t="s">
        <v>1151</v>
      </c>
      <c r="C966" t="s">
        <v>22</v>
      </c>
      <c r="D966" t="s">
        <v>17</v>
      </c>
      <c r="E966" t="s">
        <v>5</v>
      </c>
      <c r="F966" t="s">
        <v>41</v>
      </c>
      <c r="G966">
        <v>406.02</v>
      </c>
      <c r="H966">
        <v>3</v>
      </c>
      <c r="I966">
        <v>58.22</v>
      </c>
    </row>
    <row r="967" spans="1:9" x14ac:dyDescent="0.35">
      <c r="A967" t="s">
        <v>1156</v>
      </c>
      <c r="B967" t="s">
        <v>1151</v>
      </c>
      <c r="C967" t="s">
        <v>22</v>
      </c>
      <c r="D967" t="s">
        <v>23</v>
      </c>
      <c r="E967" t="s">
        <v>3</v>
      </c>
      <c r="F967" t="s">
        <v>18</v>
      </c>
      <c r="G967">
        <v>278.45</v>
      </c>
      <c r="H967">
        <v>3</v>
      </c>
      <c r="I967">
        <v>-15.36</v>
      </c>
    </row>
    <row r="968" spans="1:9" x14ac:dyDescent="0.35">
      <c r="A968" t="s">
        <v>1157</v>
      </c>
      <c r="B968" t="s">
        <v>1158</v>
      </c>
      <c r="C968" t="s">
        <v>16</v>
      </c>
      <c r="D968" t="s">
        <v>23</v>
      </c>
      <c r="E968" t="s">
        <v>4</v>
      </c>
      <c r="F968" t="s">
        <v>24</v>
      </c>
      <c r="G968">
        <v>85.56</v>
      </c>
      <c r="H968">
        <v>1</v>
      </c>
      <c r="I968">
        <v>29.19</v>
      </c>
    </row>
    <row r="969" spans="1:9" x14ac:dyDescent="0.35">
      <c r="A969" t="s">
        <v>1159</v>
      </c>
      <c r="B969" t="s">
        <v>1158</v>
      </c>
      <c r="C969" t="s">
        <v>26</v>
      </c>
      <c r="D969" t="s">
        <v>17</v>
      </c>
      <c r="E969" t="s">
        <v>5</v>
      </c>
      <c r="F969" t="s">
        <v>31</v>
      </c>
      <c r="G969">
        <v>179.99</v>
      </c>
      <c r="H969">
        <v>5</v>
      </c>
      <c r="I969">
        <v>65.95</v>
      </c>
    </row>
    <row r="970" spans="1:9" x14ac:dyDescent="0.35">
      <c r="A970" t="s">
        <v>1160</v>
      </c>
      <c r="B970" t="s">
        <v>1158</v>
      </c>
      <c r="C970" t="s">
        <v>22</v>
      </c>
      <c r="D970" t="s">
        <v>38</v>
      </c>
      <c r="E970" t="s">
        <v>3</v>
      </c>
      <c r="F970" t="s">
        <v>49</v>
      </c>
      <c r="G970">
        <v>135.59</v>
      </c>
      <c r="H970">
        <v>4</v>
      </c>
      <c r="I970">
        <v>11.51</v>
      </c>
    </row>
    <row r="971" spans="1:9" x14ac:dyDescent="0.35">
      <c r="A971" t="s">
        <v>1161</v>
      </c>
      <c r="B971" t="s">
        <v>1158</v>
      </c>
      <c r="C971" t="s">
        <v>26</v>
      </c>
      <c r="D971" t="s">
        <v>17</v>
      </c>
      <c r="E971" t="s">
        <v>3</v>
      </c>
      <c r="F971" t="s">
        <v>18</v>
      </c>
      <c r="G971">
        <v>189.57</v>
      </c>
      <c r="H971">
        <v>2</v>
      </c>
      <c r="I971">
        <v>-9.02</v>
      </c>
    </row>
    <row r="972" spans="1:9" x14ac:dyDescent="0.35">
      <c r="A972" t="s">
        <v>1162</v>
      </c>
      <c r="B972" t="s">
        <v>1158</v>
      </c>
      <c r="C972" t="s">
        <v>16</v>
      </c>
      <c r="D972" t="s">
        <v>17</v>
      </c>
      <c r="E972" t="s">
        <v>4</v>
      </c>
      <c r="F972" t="s">
        <v>39</v>
      </c>
      <c r="G972">
        <v>192.17</v>
      </c>
      <c r="H972">
        <v>9</v>
      </c>
      <c r="I972">
        <v>34.99</v>
      </c>
    </row>
    <row r="973" spans="1:9" x14ac:dyDescent="0.35">
      <c r="A973" t="s">
        <v>1163</v>
      </c>
      <c r="B973" t="s">
        <v>1158</v>
      </c>
      <c r="C973" t="s">
        <v>34</v>
      </c>
      <c r="D973" t="s">
        <v>17</v>
      </c>
      <c r="E973" t="s">
        <v>4</v>
      </c>
      <c r="F973" t="s">
        <v>39</v>
      </c>
      <c r="G973">
        <v>168.63</v>
      </c>
      <c r="H973">
        <v>3</v>
      </c>
      <c r="I973">
        <v>42.2</v>
      </c>
    </row>
    <row r="974" spans="1:9" x14ac:dyDescent="0.35">
      <c r="A974" t="s">
        <v>1164</v>
      </c>
      <c r="B974" t="s">
        <v>1165</v>
      </c>
      <c r="C974" t="s">
        <v>34</v>
      </c>
      <c r="D974" t="s">
        <v>23</v>
      </c>
      <c r="E974" t="s">
        <v>4</v>
      </c>
      <c r="F974" t="s">
        <v>39</v>
      </c>
      <c r="G974">
        <v>66.41</v>
      </c>
      <c r="H974">
        <v>8</v>
      </c>
      <c r="I974">
        <v>20.32</v>
      </c>
    </row>
    <row r="975" spans="1:9" x14ac:dyDescent="0.35">
      <c r="A975" t="s">
        <v>1166</v>
      </c>
      <c r="B975" t="s">
        <v>1165</v>
      </c>
      <c r="C975" t="s">
        <v>22</v>
      </c>
      <c r="D975" t="s">
        <v>23</v>
      </c>
      <c r="E975" t="s">
        <v>5</v>
      </c>
      <c r="F975" t="s">
        <v>31</v>
      </c>
      <c r="G975">
        <v>25.97</v>
      </c>
      <c r="H975">
        <v>6</v>
      </c>
      <c r="I975">
        <v>1.42</v>
      </c>
    </row>
    <row r="976" spans="1:9" x14ac:dyDescent="0.35">
      <c r="A976" t="s">
        <v>1167</v>
      </c>
      <c r="B976" t="s">
        <v>1165</v>
      </c>
      <c r="C976" t="s">
        <v>16</v>
      </c>
      <c r="D976" t="s">
        <v>17</v>
      </c>
      <c r="E976" t="s">
        <v>5</v>
      </c>
      <c r="F976" t="s">
        <v>31</v>
      </c>
      <c r="G976">
        <v>111.2</v>
      </c>
      <c r="H976">
        <v>5</v>
      </c>
      <c r="I976">
        <v>13.17</v>
      </c>
    </row>
    <row r="977" spans="1:9" x14ac:dyDescent="0.35">
      <c r="A977" t="s">
        <v>1168</v>
      </c>
      <c r="B977" t="s">
        <v>1165</v>
      </c>
      <c r="C977" t="s">
        <v>26</v>
      </c>
      <c r="D977" t="s">
        <v>23</v>
      </c>
      <c r="E977" t="s">
        <v>5</v>
      </c>
      <c r="F977" t="s">
        <v>29</v>
      </c>
      <c r="G977">
        <v>352.43</v>
      </c>
      <c r="H977">
        <v>1</v>
      </c>
      <c r="I977">
        <v>134.26</v>
      </c>
    </row>
    <row r="978" spans="1:9" x14ac:dyDescent="0.35">
      <c r="A978" t="s">
        <v>1169</v>
      </c>
      <c r="B978" t="s">
        <v>1165</v>
      </c>
      <c r="C978" t="s">
        <v>22</v>
      </c>
      <c r="D978" t="s">
        <v>17</v>
      </c>
      <c r="E978" t="s">
        <v>3</v>
      </c>
      <c r="F978" t="s">
        <v>18</v>
      </c>
      <c r="G978">
        <v>146.41999999999999</v>
      </c>
      <c r="H978">
        <v>4</v>
      </c>
      <c r="I978">
        <v>-11.38</v>
      </c>
    </row>
    <row r="979" spans="1:9" x14ac:dyDescent="0.35">
      <c r="A979" t="s">
        <v>1170</v>
      </c>
      <c r="B979" t="s">
        <v>1165</v>
      </c>
      <c r="C979" t="s">
        <v>16</v>
      </c>
      <c r="D979" t="s">
        <v>23</v>
      </c>
      <c r="E979" t="s">
        <v>5</v>
      </c>
      <c r="F979" t="s">
        <v>41</v>
      </c>
      <c r="G979">
        <v>287.92</v>
      </c>
      <c r="H979">
        <v>3</v>
      </c>
      <c r="I979">
        <v>52.64</v>
      </c>
    </row>
    <row r="980" spans="1:9" x14ac:dyDescent="0.35">
      <c r="A980" t="s">
        <v>1171</v>
      </c>
      <c r="B980" t="s">
        <v>1172</v>
      </c>
      <c r="C980" t="s">
        <v>16</v>
      </c>
      <c r="D980" t="s">
        <v>17</v>
      </c>
      <c r="E980" t="s">
        <v>3</v>
      </c>
      <c r="F980" t="s">
        <v>49</v>
      </c>
      <c r="G980">
        <v>737.36</v>
      </c>
      <c r="H980">
        <v>1</v>
      </c>
      <c r="I980">
        <v>-129.34</v>
      </c>
    </row>
    <row r="981" spans="1:9" x14ac:dyDescent="0.35">
      <c r="A981" t="s">
        <v>1173</v>
      </c>
      <c r="B981" t="s">
        <v>1172</v>
      </c>
      <c r="C981" t="s">
        <v>26</v>
      </c>
      <c r="D981" t="s">
        <v>17</v>
      </c>
      <c r="E981" t="s">
        <v>3</v>
      </c>
      <c r="F981" t="s">
        <v>49</v>
      </c>
      <c r="G981">
        <v>46.8</v>
      </c>
      <c r="H981">
        <v>5</v>
      </c>
      <c r="I981">
        <v>-4.9400000000000004</v>
      </c>
    </row>
    <row r="982" spans="1:9" x14ac:dyDescent="0.35">
      <c r="A982" t="s">
        <v>1174</v>
      </c>
      <c r="B982" t="s">
        <v>1172</v>
      </c>
      <c r="C982" t="s">
        <v>22</v>
      </c>
      <c r="D982" t="s">
        <v>38</v>
      </c>
      <c r="E982" t="s">
        <v>3</v>
      </c>
      <c r="F982" t="s">
        <v>18</v>
      </c>
      <c r="G982">
        <v>196.54</v>
      </c>
      <c r="H982">
        <v>6</v>
      </c>
      <c r="I982">
        <v>-37.39</v>
      </c>
    </row>
    <row r="983" spans="1:9" x14ac:dyDescent="0.35">
      <c r="A983" t="s">
        <v>1175</v>
      </c>
      <c r="B983" t="s">
        <v>1172</v>
      </c>
      <c r="C983" t="s">
        <v>16</v>
      </c>
      <c r="D983" t="s">
        <v>17</v>
      </c>
      <c r="E983" t="s">
        <v>4</v>
      </c>
      <c r="F983" t="s">
        <v>24</v>
      </c>
      <c r="G983">
        <v>188.26</v>
      </c>
      <c r="H983">
        <v>2</v>
      </c>
      <c r="I983">
        <v>67.61</v>
      </c>
    </row>
    <row r="984" spans="1:9" x14ac:dyDescent="0.35">
      <c r="A984" t="s">
        <v>1176</v>
      </c>
      <c r="B984" t="s">
        <v>1172</v>
      </c>
      <c r="C984" t="s">
        <v>16</v>
      </c>
      <c r="D984" t="s">
        <v>17</v>
      </c>
      <c r="E984" t="s">
        <v>5</v>
      </c>
      <c r="F984" t="s">
        <v>31</v>
      </c>
      <c r="G984">
        <v>606.47</v>
      </c>
      <c r="H984">
        <v>3</v>
      </c>
      <c r="I984">
        <v>150.26</v>
      </c>
    </row>
    <row r="985" spans="1:9" x14ac:dyDescent="0.35">
      <c r="A985" t="s">
        <v>1177</v>
      </c>
      <c r="B985" t="s">
        <v>1172</v>
      </c>
      <c r="C985" t="s">
        <v>16</v>
      </c>
      <c r="D985" t="s">
        <v>23</v>
      </c>
      <c r="E985" t="s">
        <v>5</v>
      </c>
      <c r="F985" t="s">
        <v>41</v>
      </c>
      <c r="G985">
        <v>656.09</v>
      </c>
      <c r="H985">
        <v>6</v>
      </c>
      <c r="I985">
        <v>160.22</v>
      </c>
    </row>
    <row r="986" spans="1:9" x14ac:dyDescent="0.35">
      <c r="A986" t="s">
        <v>1178</v>
      </c>
      <c r="B986" t="s">
        <v>1179</v>
      </c>
      <c r="C986" t="s">
        <v>26</v>
      </c>
      <c r="D986" t="s">
        <v>38</v>
      </c>
      <c r="E986" t="s">
        <v>4</v>
      </c>
      <c r="F986" t="s">
        <v>39</v>
      </c>
      <c r="G986">
        <v>194.08</v>
      </c>
      <c r="H986">
        <v>4</v>
      </c>
      <c r="I986">
        <v>40.53</v>
      </c>
    </row>
    <row r="987" spans="1:9" x14ac:dyDescent="0.35">
      <c r="A987" t="s">
        <v>1180</v>
      </c>
      <c r="B987" t="s">
        <v>1179</v>
      </c>
      <c r="C987" t="s">
        <v>22</v>
      </c>
      <c r="D987" t="s">
        <v>17</v>
      </c>
      <c r="E987" t="s">
        <v>3</v>
      </c>
      <c r="F987" t="s">
        <v>49</v>
      </c>
      <c r="G987">
        <v>61.88</v>
      </c>
      <c r="H987">
        <v>9</v>
      </c>
      <c r="I987">
        <v>2.86</v>
      </c>
    </row>
    <row r="988" spans="1:9" x14ac:dyDescent="0.35">
      <c r="A988" t="s">
        <v>1181</v>
      </c>
      <c r="B988" t="s">
        <v>1179</v>
      </c>
      <c r="C988" t="s">
        <v>22</v>
      </c>
      <c r="D988" t="s">
        <v>17</v>
      </c>
      <c r="E988" t="s">
        <v>4</v>
      </c>
      <c r="F988" t="s">
        <v>39</v>
      </c>
      <c r="G988">
        <v>260.33999999999997</v>
      </c>
      <c r="H988">
        <v>5</v>
      </c>
      <c r="I988">
        <v>63.68</v>
      </c>
    </row>
    <row r="989" spans="1:9" x14ac:dyDescent="0.35">
      <c r="A989" t="s">
        <v>1182</v>
      </c>
      <c r="B989" t="s">
        <v>1179</v>
      </c>
      <c r="C989" t="s">
        <v>22</v>
      </c>
      <c r="D989" t="s">
        <v>17</v>
      </c>
      <c r="E989" t="s">
        <v>3</v>
      </c>
      <c r="F989" t="s">
        <v>18</v>
      </c>
      <c r="G989">
        <v>36.979999999999997</v>
      </c>
      <c r="H989">
        <v>4</v>
      </c>
      <c r="I989">
        <v>2.12</v>
      </c>
    </row>
    <row r="990" spans="1:9" x14ac:dyDescent="0.35">
      <c r="A990" t="s">
        <v>1183</v>
      </c>
      <c r="B990" t="s">
        <v>1179</v>
      </c>
      <c r="C990" t="s">
        <v>22</v>
      </c>
      <c r="D990" t="s">
        <v>23</v>
      </c>
      <c r="E990" t="s">
        <v>5</v>
      </c>
      <c r="F990" t="s">
        <v>31</v>
      </c>
      <c r="G990">
        <v>247.6</v>
      </c>
      <c r="H990">
        <v>2</v>
      </c>
      <c r="I990">
        <v>46.28</v>
      </c>
    </row>
    <row r="991" spans="1:9" x14ac:dyDescent="0.35">
      <c r="A991" t="s">
        <v>1184</v>
      </c>
      <c r="B991" t="s">
        <v>1179</v>
      </c>
      <c r="C991" t="s">
        <v>34</v>
      </c>
      <c r="D991" t="s">
        <v>17</v>
      </c>
      <c r="E991" t="s">
        <v>4</v>
      </c>
      <c r="F991" t="s">
        <v>39</v>
      </c>
      <c r="G991">
        <v>381.52</v>
      </c>
      <c r="H991">
        <v>6</v>
      </c>
      <c r="I991">
        <v>45.86</v>
      </c>
    </row>
    <row r="992" spans="1:9" x14ac:dyDescent="0.35">
      <c r="A992" t="s">
        <v>1185</v>
      </c>
      <c r="B992" t="s">
        <v>1186</v>
      </c>
      <c r="C992" t="s">
        <v>34</v>
      </c>
      <c r="D992" t="s">
        <v>23</v>
      </c>
      <c r="E992" t="s">
        <v>4</v>
      </c>
      <c r="F992" t="s">
        <v>20</v>
      </c>
      <c r="G992">
        <v>92.39</v>
      </c>
      <c r="H992">
        <v>2</v>
      </c>
      <c r="I992">
        <v>20.96</v>
      </c>
    </row>
    <row r="993" spans="1:9" x14ac:dyDescent="0.35">
      <c r="A993" t="s">
        <v>1187</v>
      </c>
      <c r="B993" t="s">
        <v>1186</v>
      </c>
      <c r="C993" t="s">
        <v>22</v>
      </c>
      <c r="D993" t="s">
        <v>38</v>
      </c>
      <c r="E993" t="s">
        <v>4</v>
      </c>
      <c r="F993" t="s">
        <v>39</v>
      </c>
      <c r="G993">
        <v>169.4</v>
      </c>
      <c r="H993">
        <v>7</v>
      </c>
      <c r="I993">
        <v>16.48</v>
      </c>
    </row>
    <row r="994" spans="1:9" x14ac:dyDescent="0.35">
      <c r="A994" t="s">
        <v>1188</v>
      </c>
      <c r="B994" t="s">
        <v>1186</v>
      </c>
      <c r="C994" t="s">
        <v>26</v>
      </c>
      <c r="D994" t="s">
        <v>17</v>
      </c>
      <c r="E994" t="s">
        <v>5</v>
      </c>
      <c r="F994" t="s">
        <v>41</v>
      </c>
      <c r="G994">
        <v>104.36</v>
      </c>
      <c r="H994">
        <v>3</v>
      </c>
      <c r="I994">
        <v>26.04</v>
      </c>
    </row>
    <row r="995" spans="1:9" x14ac:dyDescent="0.35">
      <c r="A995" t="s">
        <v>1189</v>
      </c>
      <c r="B995" t="s">
        <v>1186</v>
      </c>
      <c r="C995" t="s">
        <v>34</v>
      </c>
      <c r="D995" t="s">
        <v>17</v>
      </c>
      <c r="E995" t="s">
        <v>3</v>
      </c>
      <c r="F995" t="s">
        <v>27</v>
      </c>
      <c r="G995">
        <v>106.38</v>
      </c>
      <c r="H995">
        <v>9</v>
      </c>
      <c r="I995">
        <v>-1.08</v>
      </c>
    </row>
    <row r="996" spans="1:9" x14ac:dyDescent="0.35">
      <c r="A996" t="s">
        <v>1190</v>
      </c>
      <c r="B996" t="s">
        <v>1186</v>
      </c>
      <c r="C996" t="s">
        <v>16</v>
      </c>
      <c r="D996" t="s">
        <v>17</v>
      </c>
      <c r="E996" t="s">
        <v>3</v>
      </c>
      <c r="F996" t="s">
        <v>49</v>
      </c>
      <c r="G996">
        <v>75.739999999999995</v>
      </c>
      <c r="H996">
        <v>5</v>
      </c>
      <c r="I996">
        <v>2.16</v>
      </c>
    </row>
    <row r="997" spans="1:9" x14ac:dyDescent="0.35">
      <c r="A997" t="s">
        <v>1191</v>
      </c>
      <c r="B997" t="s">
        <v>1186</v>
      </c>
      <c r="C997" t="s">
        <v>34</v>
      </c>
      <c r="D997" t="s">
        <v>17</v>
      </c>
      <c r="E997" t="s">
        <v>5</v>
      </c>
      <c r="F997" t="s">
        <v>31</v>
      </c>
      <c r="G997">
        <v>235.4</v>
      </c>
      <c r="H997">
        <v>8</v>
      </c>
      <c r="I997">
        <v>17</v>
      </c>
    </row>
    <row r="998" spans="1:9" x14ac:dyDescent="0.35">
      <c r="A998" t="s">
        <v>1192</v>
      </c>
      <c r="B998" t="s">
        <v>1193</v>
      </c>
      <c r="C998" t="s">
        <v>16</v>
      </c>
      <c r="D998" t="s">
        <v>38</v>
      </c>
      <c r="E998" t="s">
        <v>4</v>
      </c>
      <c r="F998" t="s">
        <v>24</v>
      </c>
      <c r="G998">
        <v>432.75</v>
      </c>
      <c r="H998">
        <v>6</v>
      </c>
      <c r="I998">
        <v>95.84</v>
      </c>
    </row>
    <row r="999" spans="1:9" x14ac:dyDescent="0.35">
      <c r="A999" t="s">
        <v>1194</v>
      </c>
      <c r="B999" t="s">
        <v>1193</v>
      </c>
      <c r="C999" t="s">
        <v>22</v>
      </c>
      <c r="D999" t="s">
        <v>17</v>
      </c>
      <c r="E999" t="s">
        <v>5</v>
      </c>
      <c r="F999" t="s">
        <v>31</v>
      </c>
      <c r="G999">
        <v>443.9</v>
      </c>
      <c r="H999">
        <v>8</v>
      </c>
      <c r="I999">
        <v>100.6</v>
      </c>
    </row>
    <row r="1000" spans="1:9" x14ac:dyDescent="0.35">
      <c r="A1000" t="s">
        <v>1195</v>
      </c>
      <c r="B1000" t="s">
        <v>1193</v>
      </c>
      <c r="C1000" t="s">
        <v>34</v>
      </c>
      <c r="D1000" t="s">
        <v>17</v>
      </c>
      <c r="E1000" t="s">
        <v>4</v>
      </c>
      <c r="F1000" t="s">
        <v>20</v>
      </c>
      <c r="G1000">
        <v>48.82</v>
      </c>
      <c r="H1000">
        <v>3</v>
      </c>
      <c r="I1000">
        <v>10.78</v>
      </c>
    </row>
    <row r="1001" spans="1:9" x14ac:dyDescent="0.35">
      <c r="A1001" t="s">
        <v>1196</v>
      </c>
      <c r="B1001" t="s">
        <v>1193</v>
      </c>
      <c r="C1001" t="s">
        <v>26</v>
      </c>
      <c r="D1001" t="s">
        <v>23</v>
      </c>
      <c r="E1001" t="s">
        <v>3</v>
      </c>
      <c r="F1001" t="s">
        <v>18</v>
      </c>
      <c r="G1001">
        <v>331.61</v>
      </c>
      <c r="H1001">
        <v>3</v>
      </c>
      <c r="I1001">
        <v>9.18</v>
      </c>
    </row>
    <row r="1002" spans="1:9" x14ac:dyDescent="0.35">
      <c r="A1002" t="s">
        <v>1197</v>
      </c>
      <c r="B1002" t="s">
        <v>1193</v>
      </c>
      <c r="C1002" t="s">
        <v>34</v>
      </c>
      <c r="D1002" t="s">
        <v>17</v>
      </c>
      <c r="E1002" t="s">
        <v>5</v>
      </c>
      <c r="F1002" t="s">
        <v>31</v>
      </c>
      <c r="G1002">
        <v>220.59</v>
      </c>
      <c r="H1002">
        <v>5</v>
      </c>
      <c r="I1002">
        <v>90.62</v>
      </c>
    </row>
    <row r="1003" spans="1:9" x14ac:dyDescent="0.35">
      <c r="A1003" t="s">
        <v>1198</v>
      </c>
      <c r="B1003" t="s">
        <v>1193</v>
      </c>
      <c r="C1003" t="s">
        <v>34</v>
      </c>
      <c r="D1003" t="s">
        <v>23</v>
      </c>
      <c r="E1003" t="s">
        <v>3</v>
      </c>
      <c r="F1003" t="s">
        <v>49</v>
      </c>
      <c r="G1003">
        <v>63.72</v>
      </c>
      <c r="H1003">
        <v>3</v>
      </c>
      <c r="I1003">
        <v>5.44</v>
      </c>
    </row>
    <row r="1004" spans="1:9" x14ac:dyDescent="0.35">
      <c r="A1004" t="s">
        <v>1199</v>
      </c>
      <c r="B1004" t="s">
        <v>1200</v>
      </c>
      <c r="C1004" t="s">
        <v>34</v>
      </c>
      <c r="D1004" t="s">
        <v>17</v>
      </c>
      <c r="E1004" t="s">
        <v>4</v>
      </c>
      <c r="F1004" t="s">
        <v>24</v>
      </c>
      <c r="G1004">
        <v>30.45</v>
      </c>
      <c r="H1004">
        <v>8</v>
      </c>
      <c r="I1004">
        <v>8.67</v>
      </c>
    </row>
    <row r="1005" spans="1:9" x14ac:dyDescent="0.35">
      <c r="A1005" t="s">
        <v>1201</v>
      </c>
      <c r="B1005" t="s">
        <v>1200</v>
      </c>
      <c r="C1005" t="s">
        <v>22</v>
      </c>
      <c r="D1005" t="s">
        <v>38</v>
      </c>
      <c r="E1005" t="s">
        <v>4</v>
      </c>
      <c r="F1005" t="s">
        <v>39</v>
      </c>
      <c r="G1005">
        <v>66.8</v>
      </c>
      <c r="H1005">
        <v>8</v>
      </c>
      <c r="I1005">
        <v>19.66</v>
      </c>
    </row>
    <row r="1006" spans="1:9" x14ac:dyDescent="0.35">
      <c r="A1006" t="s">
        <v>1202</v>
      </c>
      <c r="B1006" t="s">
        <v>1200</v>
      </c>
      <c r="C1006" t="s">
        <v>26</v>
      </c>
      <c r="D1006" t="s">
        <v>38</v>
      </c>
      <c r="E1006" t="s">
        <v>4</v>
      </c>
      <c r="F1006" t="s">
        <v>24</v>
      </c>
      <c r="G1006">
        <v>384.92</v>
      </c>
      <c r="H1006">
        <v>2</v>
      </c>
      <c r="I1006">
        <v>68.95</v>
      </c>
    </row>
    <row r="1007" spans="1:9" x14ac:dyDescent="0.35">
      <c r="A1007" t="s">
        <v>1203</v>
      </c>
      <c r="B1007" t="s">
        <v>1200</v>
      </c>
      <c r="C1007" t="s">
        <v>34</v>
      </c>
      <c r="D1007" t="s">
        <v>23</v>
      </c>
      <c r="E1007" t="s">
        <v>4</v>
      </c>
      <c r="F1007" t="s">
        <v>39</v>
      </c>
      <c r="G1007">
        <v>170.43</v>
      </c>
      <c r="H1007">
        <v>4</v>
      </c>
      <c r="I1007">
        <v>26.11</v>
      </c>
    </row>
    <row r="1008" spans="1:9" x14ac:dyDescent="0.35">
      <c r="A1008" t="s">
        <v>1204</v>
      </c>
      <c r="B1008" t="s">
        <v>1200</v>
      </c>
      <c r="C1008" t="s">
        <v>26</v>
      </c>
      <c r="D1008" t="s">
        <v>38</v>
      </c>
      <c r="E1008" t="s">
        <v>4</v>
      </c>
      <c r="F1008" t="s">
        <v>20</v>
      </c>
      <c r="G1008">
        <v>211.51</v>
      </c>
      <c r="H1008">
        <v>1</v>
      </c>
      <c r="I1008">
        <v>50.19</v>
      </c>
    </row>
    <row r="1009" spans="1:9" x14ac:dyDescent="0.35">
      <c r="A1009" t="s">
        <v>1205</v>
      </c>
      <c r="B1009" t="s">
        <v>1200</v>
      </c>
      <c r="C1009" t="s">
        <v>22</v>
      </c>
      <c r="D1009" t="s">
        <v>17</v>
      </c>
      <c r="E1009" t="s">
        <v>4</v>
      </c>
      <c r="F1009" t="s">
        <v>39</v>
      </c>
      <c r="G1009">
        <v>64.59</v>
      </c>
      <c r="H1009">
        <v>4</v>
      </c>
      <c r="I1009">
        <v>14.42</v>
      </c>
    </row>
    <row r="1010" spans="1:9" x14ac:dyDescent="0.35">
      <c r="A1010" t="s">
        <v>1206</v>
      </c>
      <c r="B1010" t="s">
        <v>1207</v>
      </c>
      <c r="C1010" t="s">
        <v>16</v>
      </c>
      <c r="D1010" t="s">
        <v>17</v>
      </c>
      <c r="E1010" t="s">
        <v>5</v>
      </c>
      <c r="F1010" t="s">
        <v>31</v>
      </c>
      <c r="G1010">
        <v>210.62</v>
      </c>
      <c r="H1010">
        <v>4</v>
      </c>
      <c r="I1010">
        <v>46.15</v>
      </c>
    </row>
    <row r="1011" spans="1:9" x14ac:dyDescent="0.35">
      <c r="A1011" t="s">
        <v>1208</v>
      </c>
      <c r="B1011" t="s">
        <v>1207</v>
      </c>
      <c r="C1011" t="s">
        <v>34</v>
      </c>
      <c r="D1011" t="s">
        <v>23</v>
      </c>
      <c r="E1011" t="s">
        <v>3</v>
      </c>
      <c r="F1011" t="s">
        <v>18</v>
      </c>
      <c r="G1011">
        <v>24.28</v>
      </c>
      <c r="H1011">
        <v>9</v>
      </c>
      <c r="I1011">
        <v>-0.23</v>
      </c>
    </row>
    <row r="1012" spans="1:9" x14ac:dyDescent="0.35">
      <c r="A1012" t="s">
        <v>1209</v>
      </c>
      <c r="B1012" t="s">
        <v>1207</v>
      </c>
      <c r="C1012" t="s">
        <v>26</v>
      </c>
      <c r="D1012" t="s">
        <v>23</v>
      </c>
      <c r="E1012" t="s">
        <v>5</v>
      </c>
      <c r="F1012" t="s">
        <v>41</v>
      </c>
      <c r="G1012">
        <v>90.58</v>
      </c>
      <c r="H1012">
        <v>3</v>
      </c>
      <c r="I1012">
        <v>22.33</v>
      </c>
    </row>
    <row r="1013" spans="1:9" x14ac:dyDescent="0.35">
      <c r="A1013" t="s">
        <v>1210</v>
      </c>
      <c r="B1013" t="s">
        <v>1207</v>
      </c>
      <c r="C1013" t="s">
        <v>26</v>
      </c>
      <c r="D1013" t="s">
        <v>17</v>
      </c>
      <c r="E1013" t="s">
        <v>4</v>
      </c>
      <c r="F1013" t="s">
        <v>39</v>
      </c>
      <c r="G1013">
        <v>167.83</v>
      </c>
      <c r="H1013">
        <v>2</v>
      </c>
      <c r="I1013">
        <v>10.84</v>
      </c>
    </row>
    <row r="1014" spans="1:9" x14ac:dyDescent="0.35">
      <c r="A1014" t="s">
        <v>1211</v>
      </c>
      <c r="B1014" t="s">
        <v>1207</v>
      </c>
      <c r="C1014" t="s">
        <v>22</v>
      </c>
      <c r="D1014" t="s">
        <v>17</v>
      </c>
      <c r="E1014" t="s">
        <v>4</v>
      </c>
      <c r="F1014" t="s">
        <v>39</v>
      </c>
      <c r="G1014">
        <v>43.69</v>
      </c>
      <c r="H1014">
        <v>9</v>
      </c>
      <c r="I1014">
        <v>12.19</v>
      </c>
    </row>
    <row r="1015" spans="1:9" x14ac:dyDescent="0.35">
      <c r="A1015" t="s">
        <v>1212</v>
      </c>
      <c r="B1015" t="s">
        <v>1207</v>
      </c>
      <c r="C1015" t="s">
        <v>34</v>
      </c>
      <c r="D1015" t="s">
        <v>17</v>
      </c>
      <c r="E1015" t="s">
        <v>5</v>
      </c>
      <c r="F1015" t="s">
        <v>41</v>
      </c>
      <c r="G1015">
        <v>279.74</v>
      </c>
      <c r="H1015">
        <v>9</v>
      </c>
      <c r="I1015">
        <v>71.48</v>
      </c>
    </row>
    <row r="1016" spans="1:9" x14ac:dyDescent="0.35">
      <c r="A1016" t="s">
        <v>1213</v>
      </c>
      <c r="B1016" t="s">
        <v>1214</v>
      </c>
      <c r="C1016" t="s">
        <v>16</v>
      </c>
      <c r="D1016" t="s">
        <v>17</v>
      </c>
      <c r="E1016" t="s">
        <v>4</v>
      </c>
      <c r="F1016" t="s">
        <v>39</v>
      </c>
      <c r="G1016">
        <v>60.19</v>
      </c>
      <c r="H1016">
        <v>1</v>
      </c>
      <c r="I1016">
        <v>21.36</v>
      </c>
    </row>
    <row r="1017" spans="1:9" x14ac:dyDescent="0.35">
      <c r="A1017" t="s">
        <v>1215</v>
      </c>
      <c r="B1017" t="s">
        <v>1214</v>
      </c>
      <c r="C1017" t="s">
        <v>26</v>
      </c>
      <c r="D1017" t="s">
        <v>17</v>
      </c>
      <c r="E1017" t="s">
        <v>4</v>
      </c>
      <c r="F1017" t="s">
        <v>20</v>
      </c>
      <c r="G1017">
        <v>178.45</v>
      </c>
      <c r="H1017">
        <v>6</v>
      </c>
      <c r="I1017">
        <v>-2.2400000000000002</v>
      </c>
    </row>
    <row r="1018" spans="1:9" x14ac:dyDescent="0.35">
      <c r="A1018" t="s">
        <v>1216</v>
      </c>
      <c r="B1018" t="s">
        <v>1214</v>
      </c>
      <c r="C1018" t="s">
        <v>34</v>
      </c>
      <c r="D1018" t="s">
        <v>23</v>
      </c>
      <c r="E1018" t="s">
        <v>5</v>
      </c>
      <c r="F1018" t="s">
        <v>29</v>
      </c>
      <c r="G1018">
        <v>97.93</v>
      </c>
      <c r="H1018">
        <v>8</v>
      </c>
      <c r="I1018">
        <v>19.03</v>
      </c>
    </row>
    <row r="1019" spans="1:9" x14ac:dyDescent="0.35">
      <c r="A1019" t="s">
        <v>1217</v>
      </c>
      <c r="B1019" t="s">
        <v>1214</v>
      </c>
      <c r="C1019" t="s">
        <v>16</v>
      </c>
      <c r="D1019" t="s">
        <v>17</v>
      </c>
      <c r="E1019" t="s">
        <v>3</v>
      </c>
      <c r="F1019" t="s">
        <v>18</v>
      </c>
      <c r="G1019">
        <v>155.97</v>
      </c>
      <c r="H1019">
        <v>3</v>
      </c>
      <c r="I1019">
        <v>-7.29</v>
      </c>
    </row>
    <row r="1020" spans="1:9" x14ac:dyDescent="0.35">
      <c r="A1020" t="s">
        <v>1218</v>
      </c>
      <c r="B1020" t="s">
        <v>1214</v>
      </c>
      <c r="C1020" t="s">
        <v>26</v>
      </c>
      <c r="D1020" t="s">
        <v>17</v>
      </c>
      <c r="E1020" t="s">
        <v>4</v>
      </c>
      <c r="F1020" t="s">
        <v>20</v>
      </c>
      <c r="G1020">
        <v>37.049999999999997</v>
      </c>
      <c r="H1020">
        <v>9</v>
      </c>
      <c r="I1020">
        <v>9.77</v>
      </c>
    </row>
    <row r="1021" spans="1:9" x14ac:dyDescent="0.35">
      <c r="A1021" t="s">
        <v>1219</v>
      </c>
      <c r="B1021" t="s">
        <v>1214</v>
      </c>
      <c r="C1021" t="s">
        <v>26</v>
      </c>
      <c r="D1021" t="s">
        <v>23</v>
      </c>
      <c r="E1021" t="s">
        <v>5</v>
      </c>
      <c r="F1021" t="s">
        <v>31</v>
      </c>
      <c r="G1021">
        <v>22.56</v>
      </c>
      <c r="H1021">
        <v>2</v>
      </c>
      <c r="I1021">
        <v>6.54</v>
      </c>
    </row>
    <row r="1022" spans="1:9" x14ac:dyDescent="0.35">
      <c r="A1022" t="s">
        <v>1220</v>
      </c>
      <c r="B1022" t="s">
        <v>1221</v>
      </c>
      <c r="C1022" t="s">
        <v>16</v>
      </c>
      <c r="D1022" t="s">
        <v>23</v>
      </c>
      <c r="E1022" t="s">
        <v>4</v>
      </c>
      <c r="F1022" t="s">
        <v>20</v>
      </c>
      <c r="G1022">
        <v>380.47</v>
      </c>
      <c r="H1022">
        <v>6</v>
      </c>
      <c r="I1022">
        <v>68.88</v>
      </c>
    </row>
    <row r="1023" spans="1:9" x14ac:dyDescent="0.35">
      <c r="A1023" t="s">
        <v>1222</v>
      </c>
      <c r="B1023" t="s">
        <v>1221</v>
      </c>
      <c r="C1023" t="s">
        <v>16</v>
      </c>
      <c r="D1023" t="s">
        <v>38</v>
      </c>
      <c r="E1023" t="s">
        <v>5</v>
      </c>
      <c r="F1023" t="s">
        <v>41</v>
      </c>
      <c r="G1023">
        <v>67.13</v>
      </c>
      <c r="H1023">
        <v>1</v>
      </c>
      <c r="I1023">
        <v>9.2200000000000006</v>
      </c>
    </row>
    <row r="1024" spans="1:9" x14ac:dyDescent="0.35">
      <c r="A1024" t="s">
        <v>1223</v>
      </c>
      <c r="B1024" t="s">
        <v>1221</v>
      </c>
      <c r="C1024" t="s">
        <v>22</v>
      </c>
      <c r="D1024" t="s">
        <v>23</v>
      </c>
      <c r="E1024" t="s">
        <v>4</v>
      </c>
      <c r="F1024" t="s">
        <v>39</v>
      </c>
      <c r="G1024">
        <v>276.95</v>
      </c>
      <c r="H1024">
        <v>7</v>
      </c>
      <c r="I1024">
        <v>9.5</v>
      </c>
    </row>
    <row r="1025" spans="1:9" x14ac:dyDescent="0.35">
      <c r="A1025" t="s">
        <v>1224</v>
      </c>
      <c r="B1025" t="s">
        <v>1221</v>
      </c>
      <c r="C1025" t="s">
        <v>34</v>
      </c>
      <c r="D1025" t="s">
        <v>17</v>
      </c>
      <c r="E1025" t="s">
        <v>4</v>
      </c>
      <c r="F1025" t="s">
        <v>20</v>
      </c>
      <c r="G1025">
        <v>1120.8499999999999</v>
      </c>
      <c r="H1025">
        <v>3</v>
      </c>
      <c r="I1025">
        <v>204.28</v>
      </c>
    </row>
    <row r="1026" spans="1:9" x14ac:dyDescent="0.35">
      <c r="A1026" t="s">
        <v>1225</v>
      </c>
      <c r="B1026" t="s">
        <v>1221</v>
      </c>
      <c r="C1026" t="s">
        <v>34</v>
      </c>
      <c r="D1026" t="s">
        <v>38</v>
      </c>
      <c r="E1026" t="s">
        <v>4</v>
      </c>
      <c r="F1026" t="s">
        <v>39</v>
      </c>
      <c r="G1026">
        <v>55.63</v>
      </c>
      <c r="H1026">
        <v>7</v>
      </c>
      <c r="I1026">
        <v>0.76</v>
      </c>
    </row>
    <row r="1027" spans="1:9" x14ac:dyDescent="0.35">
      <c r="A1027" t="s">
        <v>1226</v>
      </c>
      <c r="B1027" t="s">
        <v>1221</v>
      </c>
      <c r="C1027" t="s">
        <v>22</v>
      </c>
      <c r="D1027" t="s">
        <v>23</v>
      </c>
      <c r="E1027" t="s">
        <v>3</v>
      </c>
      <c r="F1027" t="s">
        <v>18</v>
      </c>
      <c r="G1027">
        <v>66.22</v>
      </c>
      <c r="H1027">
        <v>4</v>
      </c>
      <c r="I1027">
        <v>-6.83</v>
      </c>
    </row>
    <row r="1028" spans="1:9" x14ac:dyDescent="0.35">
      <c r="A1028" t="s">
        <v>1227</v>
      </c>
      <c r="B1028" t="s">
        <v>1228</v>
      </c>
      <c r="C1028" t="s">
        <v>26</v>
      </c>
      <c r="D1028" t="s">
        <v>17</v>
      </c>
      <c r="E1028" t="s">
        <v>4</v>
      </c>
      <c r="F1028" t="s">
        <v>39</v>
      </c>
      <c r="G1028">
        <v>183.09</v>
      </c>
      <c r="H1028">
        <v>9</v>
      </c>
      <c r="I1028">
        <v>36.630000000000003</v>
      </c>
    </row>
    <row r="1029" spans="1:9" x14ac:dyDescent="0.35">
      <c r="A1029" t="s">
        <v>1229</v>
      </c>
      <c r="B1029" t="s">
        <v>1228</v>
      </c>
      <c r="C1029" t="s">
        <v>16</v>
      </c>
      <c r="D1029" t="s">
        <v>23</v>
      </c>
      <c r="E1029" t="s">
        <v>4</v>
      </c>
      <c r="F1029" t="s">
        <v>24</v>
      </c>
      <c r="G1029">
        <v>524.79999999999995</v>
      </c>
      <c r="H1029">
        <v>5</v>
      </c>
      <c r="I1029">
        <v>27.17</v>
      </c>
    </row>
    <row r="1030" spans="1:9" x14ac:dyDescent="0.35">
      <c r="A1030" t="s">
        <v>1230</v>
      </c>
      <c r="B1030" t="s">
        <v>1228</v>
      </c>
      <c r="C1030" t="s">
        <v>16</v>
      </c>
      <c r="D1030" t="s">
        <v>38</v>
      </c>
      <c r="E1030" t="s">
        <v>3</v>
      </c>
      <c r="F1030" t="s">
        <v>27</v>
      </c>
      <c r="G1030">
        <v>391.21</v>
      </c>
      <c r="H1030">
        <v>3</v>
      </c>
      <c r="I1030">
        <v>43.24</v>
      </c>
    </row>
    <row r="1031" spans="1:9" x14ac:dyDescent="0.35">
      <c r="A1031" t="s">
        <v>1231</v>
      </c>
      <c r="B1031" t="s">
        <v>1228</v>
      </c>
      <c r="C1031" t="s">
        <v>16</v>
      </c>
      <c r="D1031" t="s">
        <v>17</v>
      </c>
      <c r="E1031" t="s">
        <v>4</v>
      </c>
      <c r="F1031" t="s">
        <v>20</v>
      </c>
      <c r="G1031">
        <v>124.84</v>
      </c>
      <c r="H1031">
        <v>8</v>
      </c>
      <c r="I1031">
        <v>34.01</v>
      </c>
    </row>
    <row r="1032" spans="1:9" x14ac:dyDescent="0.35">
      <c r="A1032" t="s">
        <v>1232</v>
      </c>
      <c r="B1032" t="s">
        <v>1228</v>
      </c>
      <c r="C1032" t="s">
        <v>26</v>
      </c>
      <c r="D1032" t="s">
        <v>17</v>
      </c>
      <c r="E1032" t="s">
        <v>5</v>
      </c>
      <c r="F1032" t="s">
        <v>29</v>
      </c>
      <c r="G1032">
        <v>257.79000000000002</v>
      </c>
      <c r="H1032">
        <v>6</v>
      </c>
      <c r="I1032">
        <v>23.94</v>
      </c>
    </row>
    <row r="1033" spans="1:9" x14ac:dyDescent="0.35">
      <c r="A1033" t="s">
        <v>1233</v>
      </c>
      <c r="B1033" t="s">
        <v>1228</v>
      </c>
      <c r="C1033" t="s">
        <v>16</v>
      </c>
      <c r="D1033" t="s">
        <v>17</v>
      </c>
      <c r="E1033" t="s">
        <v>3</v>
      </c>
      <c r="F1033" t="s">
        <v>18</v>
      </c>
      <c r="G1033">
        <v>41.88</v>
      </c>
      <c r="H1033">
        <v>2</v>
      </c>
      <c r="I1033">
        <v>-6</v>
      </c>
    </row>
    <row r="1034" spans="1:9" x14ac:dyDescent="0.35">
      <c r="A1034" t="s">
        <v>1234</v>
      </c>
      <c r="B1034" t="s">
        <v>1235</v>
      </c>
      <c r="C1034" t="s">
        <v>16</v>
      </c>
      <c r="D1034" t="s">
        <v>17</v>
      </c>
      <c r="E1034" t="s">
        <v>5</v>
      </c>
      <c r="F1034" t="s">
        <v>41</v>
      </c>
      <c r="G1034">
        <v>588.72</v>
      </c>
      <c r="H1034">
        <v>3</v>
      </c>
      <c r="I1034">
        <v>12.61</v>
      </c>
    </row>
    <row r="1035" spans="1:9" x14ac:dyDescent="0.35">
      <c r="A1035" t="s">
        <v>1236</v>
      </c>
      <c r="B1035" t="s">
        <v>1235</v>
      </c>
      <c r="C1035" t="s">
        <v>22</v>
      </c>
      <c r="D1035" t="s">
        <v>17</v>
      </c>
      <c r="E1035" t="s">
        <v>5</v>
      </c>
      <c r="F1035" t="s">
        <v>29</v>
      </c>
      <c r="G1035">
        <v>520.11</v>
      </c>
      <c r="H1035">
        <v>8</v>
      </c>
      <c r="I1035">
        <v>89.32</v>
      </c>
    </row>
    <row r="1036" spans="1:9" x14ac:dyDescent="0.35">
      <c r="A1036" t="s">
        <v>1237</v>
      </c>
      <c r="B1036" t="s">
        <v>1235</v>
      </c>
      <c r="C1036" t="s">
        <v>26</v>
      </c>
      <c r="D1036" t="s">
        <v>23</v>
      </c>
      <c r="E1036" t="s">
        <v>5</v>
      </c>
      <c r="F1036" t="s">
        <v>31</v>
      </c>
      <c r="G1036">
        <v>46.82</v>
      </c>
      <c r="H1036">
        <v>7</v>
      </c>
      <c r="I1036">
        <v>15.29</v>
      </c>
    </row>
    <row r="1037" spans="1:9" x14ac:dyDescent="0.35">
      <c r="A1037" t="s">
        <v>1238</v>
      </c>
      <c r="B1037" t="s">
        <v>1235</v>
      </c>
      <c r="C1037" t="s">
        <v>34</v>
      </c>
      <c r="D1037" t="s">
        <v>17</v>
      </c>
      <c r="E1037" t="s">
        <v>4</v>
      </c>
      <c r="F1037" t="s">
        <v>39</v>
      </c>
      <c r="G1037">
        <v>73.38</v>
      </c>
      <c r="H1037">
        <v>6</v>
      </c>
      <c r="I1037">
        <v>7.97</v>
      </c>
    </row>
    <row r="1038" spans="1:9" x14ac:dyDescent="0.35">
      <c r="A1038" t="s">
        <v>1239</v>
      </c>
      <c r="B1038" t="s">
        <v>1235</v>
      </c>
      <c r="C1038" t="s">
        <v>22</v>
      </c>
      <c r="D1038" t="s">
        <v>38</v>
      </c>
      <c r="E1038" t="s">
        <v>3</v>
      </c>
      <c r="F1038" t="s">
        <v>18</v>
      </c>
      <c r="G1038">
        <v>35.83</v>
      </c>
      <c r="H1038">
        <v>1</v>
      </c>
      <c r="I1038">
        <v>-0.14000000000000001</v>
      </c>
    </row>
    <row r="1039" spans="1:9" x14ac:dyDescent="0.35">
      <c r="A1039" t="s">
        <v>1240</v>
      </c>
      <c r="B1039" t="s">
        <v>1235</v>
      </c>
      <c r="C1039" t="s">
        <v>22</v>
      </c>
      <c r="D1039" t="s">
        <v>23</v>
      </c>
      <c r="E1039" t="s">
        <v>4</v>
      </c>
      <c r="F1039" t="s">
        <v>39</v>
      </c>
      <c r="G1039">
        <v>67.56</v>
      </c>
      <c r="H1039">
        <v>9</v>
      </c>
      <c r="I1039">
        <v>-0.15</v>
      </c>
    </row>
    <row r="1040" spans="1:9" x14ac:dyDescent="0.35">
      <c r="A1040" t="s">
        <v>1241</v>
      </c>
      <c r="B1040" t="s">
        <v>1242</v>
      </c>
      <c r="C1040" t="s">
        <v>34</v>
      </c>
      <c r="D1040" t="s">
        <v>23</v>
      </c>
      <c r="E1040" t="s">
        <v>5</v>
      </c>
      <c r="F1040" t="s">
        <v>41</v>
      </c>
      <c r="G1040">
        <v>273.89</v>
      </c>
      <c r="H1040">
        <v>3</v>
      </c>
      <c r="I1040">
        <v>90.33</v>
      </c>
    </row>
    <row r="1041" spans="1:9" x14ac:dyDescent="0.35">
      <c r="A1041" t="s">
        <v>1243</v>
      </c>
      <c r="B1041" t="s">
        <v>1242</v>
      </c>
      <c r="C1041" t="s">
        <v>22</v>
      </c>
      <c r="D1041" t="s">
        <v>38</v>
      </c>
      <c r="E1041" t="s">
        <v>3</v>
      </c>
      <c r="F1041" t="s">
        <v>18</v>
      </c>
      <c r="G1041">
        <v>91.3</v>
      </c>
      <c r="H1041">
        <v>5</v>
      </c>
      <c r="I1041">
        <v>-9.6300000000000008</v>
      </c>
    </row>
    <row r="1042" spans="1:9" x14ac:dyDescent="0.35">
      <c r="A1042" t="s">
        <v>1244</v>
      </c>
      <c r="B1042" t="s">
        <v>1242</v>
      </c>
      <c r="C1042" t="s">
        <v>26</v>
      </c>
      <c r="D1042" t="s">
        <v>17</v>
      </c>
      <c r="E1042" t="s">
        <v>3</v>
      </c>
      <c r="F1042" t="s">
        <v>49</v>
      </c>
      <c r="G1042">
        <v>33.880000000000003</v>
      </c>
      <c r="H1042">
        <v>7</v>
      </c>
      <c r="I1042">
        <v>-1.65</v>
      </c>
    </row>
    <row r="1043" spans="1:9" x14ac:dyDescent="0.35">
      <c r="A1043" t="s">
        <v>1245</v>
      </c>
      <c r="B1043" t="s">
        <v>1242</v>
      </c>
      <c r="C1043" t="s">
        <v>16</v>
      </c>
      <c r="D1043" t="s">
        <v>17</v>
      </c>
      <c r="E1043" t="s">
        <v>4</v>
      </c>
      <c r="F1043" t="s">
        <v>24</v>
      </c>
      <c r="G1043">
        <v>82.83</v>
      </c>
      <c r="H1043">
        <v>7</v>
      </c>
      <c r="I1043">
        <v>11.66</v>
      </c>
    </row>
    <row r="1044" spans="1:9" x14ac:dyDescent="0.35">
      <c r="A1044" t="s">
        <v>1246</v>
      </c>
      <c r="B1044" t="s">
        <v>1242</v>
      </c>
      <c r="C1044" t="s">
        <v>26</v>
      </c>
      <c r="D1044" t="s">
        <v>23</v>
      </c>
      <c r="E1044" t="s">
        <v>3</v>
      </c>
      <c r="F1044" t="s">
        <v>27</v>
      </c>
      <c r="G1044">
        <v>617.54999999999995</v>
      </c>
      <c r="H1044">
        <v>3</v>
      </c>
      <c r="I1044">
        <v>-109.4</v>
      </c>
    </row>
    <row r="1045" spans="1:9" x14ac:dyDescent="0.35">
      <c r="A1045" t="s">
        <v>1247</v>
      </c>
      <c r="B1045" t="s">
        <v>1242</v>
      </c>
      <c r="C1045" t="s">
        <v>34</v>
      </c>
      <c r="D1045" t="s">
        <v>38</v>
      </c>
      <c r="E1045" t="s">
        <v>4</v>
      </c>
      <c r="F1045" t="s">
        <v>39</v>
      </c>
      <c r="G1045">
        <v>169.01</v>
      </c>
      <c r="H1045">
        <v>4</v>
      </c>
      <c r="I1045">
        <v>5.86</v>
      </c>
    </row>
    <row r="1046" spans="1:9" x14ac:dyDescent="0.35">
      <c r="A1046" t="s">
        <v>1248</v>
      </c>
      <c r="B1046" t="s">
        <v>1249</v>
      </c>
      <c r="C1046" t="s">
        <v>34</v>
      </c>
      <c r="D1046" t="s">
        <v>23</v>
      </c>
      <c r="E1046" t="s">
        <v>4</v>
      </c>
      <c r="F1046" t="s">
        <v>20</v>
      </c>
      <c r="G1046">
        <v>100.72</v>
      </c>
      <c r="H1046">
        <v>7</v>
      </c>
      <c r="I1046">
        <v>24.86</v>
      </c>
    </row>
    <row r="1047" spans="1:9" x14ac:dyDescent="0.35">
      <c r="A1047" t="s">
        <v>1250</v>
      </c>
      <c r="B1047" t="s">
        <v>1249</v>
      </c>
      <c r="C1047" t="s">
        <v>22</v>
      </c>
      <c r="D1047" t="s">
        <v>17</v>
      </c>
      <c r="E1047" t="s">
        <v>4</v>
      </c>
      <c r="F1047" t="s">
        <v>39</v>
      </c>
      <c r="G1047">
        <v>47.33</v>
      </c>
      <c r="H1047">
        <v>8</v>
      </c>
      <c r="I1047">
        <v>8.99</v>
      </c>
    </row>
    <row r="1048" spans="1:9" x14ac:dyDescent="0.35">
      <c r="A1048" t="s">
        <v>1251</v>
      </c>
      <c r="B1048" t="s">
        <v>1249</v>
      </c>
      <c r="C1048" t="s">
        <v>26</v>
      </c>
      <c r="D1048" t="s">
        <v>38</v>
      </c>
      <c r="E1048" t="s">
        <v>5</v>
      </c>
      <c r="F1048" t="s">
        <v>31</v>
      </c>
      <c r="G1048">
        <v>662.21</v>
      </c>
      <c r="H1048">
        <v>2</v>
      </c>
      <c r="I1048">
        <v>235.09</v>
      </c>
    </row>
    <row r="1049" spans="1:9" x14ac:dyDescent="0.35">
      <c r="A1049" t="s">
        <v>1252</v>
      </c>
      <c r="B1049" t="s">
        <v>1249</v>
      </c>
      <c r="C1049" t="s">
        <v>26</v>
      </c>
      <c r="D1049" t="s">
        <v>17</v>
      </c>
      <c r="E1049" t="s">
        <v>5</v>
      </c>
      <c r="F1049" t="s">
        <v>41</v>
      </c>
      <c r="G1049">
        <v>277.93</v>
      </c>
      <c r="H1049">
        <v>9</v>
      </c>
      <c r="I1049">
        <v>78.510000000000005</v>
      </c>
    </row>
    <row r="1050" spans="1:9" x14ac:dyDescent="0.35">
      <c r="A1050" t="s">
        <v>1253</v>
      </c>
      <c r="B1050" t="s">
        <v>1249</v>
      </c>
      <c r="C1050" t="s">
        <v>34</v>
      </c>
      <c r="D1050" t="s">
        <v>38</v>
      </c>
      <c r="E1050" t="s">
        <v>4</v>
      </c>
      <c r="F1050" t="s">
        <v>39</v>
      </c>
      <c r="G1050">
        <v>69.58</v>
      </c>
      <c r="H1050">
        <v>7</v>
      </c>
      <c r="I1050">
        <v>11.43</v>
      </c>
    </row>
    <row r="1051" spans="1:9" x14ac:dyDescent="0.35">
      <c r="A1051" t="s">
        <v>1254</v>
      </c>
      <c r="B1051" t="s">
        <v>1249</v>
      </c>
      <c r="C1051" t="s">
        <v>26</v>
      </c>
      <c r="D1051" t="s">
        <v>38</v>
      </c>
      <c r="E1051" t="s">
        <v>5</v>
      </c>
      <c r="F1051" t="s">
        <v>31</v>
      </c>
      <c r="G1051">
        <v>30.9</v>
      </c>
      <c r="H1051">
        <v>8</v>
      </c>
      <c r="I1051">
        <v>2.39</v>
      </c>
    </row>
    <row r="1052" spans="1:9" x14ac:dyDescent="0.35">
      <c r="A1052" t="s">
        <v>1255</v>
      </c>
      <c r="B1052" t="s">
        <v>1256</v>
      </c>
      <c r="C1052" t="s">
        <v>34</v>
      </c>
      <c r="D1052" t="s">
        <v>17</v>
      </c>
      <c r="E1052" t="s">
        <v>4</v>
      </c>
      <c r="F1052" t="s">
        <v>39</v>
      </c>
      <c r="G1052">
        <v>28.74</v>
      </c>
      <c r="H1052">
        <v>6</v>
      </c>
      <c r="I1052">
        <v>3.53</v>
      </c>
    </row>
    <row r="1053" spans="1:9" x14ac:dyDescent="0.35">
      <c r="A1053" t="s">
        <v>1257</v>
      </c>
      <c r="B1053" t="s">
        <v>1256</v>
      </c>
      <c r="C1053" t="s">
        <v>26</v>
      </c>
      <c r="D1053" t="s">
        <v>23</v>
      </c>
      <c r="E1053" t="s">
        <v>3</v>
      </c>
      <c r="F1053" t="s">
        <v>49</v>
      </c>
      <c r="G1053">
        <v>39.24</v>
      </c>
      <c r="H1053">
        <v>6</v>
      </c>
      <c r="I1053">
        <v>-2.0699999999999998</v>
      </c>
    </row>
    <row r="1054" spans="1:9" x14ac:dyDescent="0.35">
      <c r="A1054" t="s">
        <v>1258</v>
      </c>
      <c r="B1054" t="s">
        <v>1256</v>
      </c>
      <c r="C1054" t="s">
        <v>26</v>
      </c>
      <c r="D1054" t="s">
        <v>17</v>
      </c>
      <c r="E1054" t="s">
        <v>4</v>
      </c>
      <c r="F1054" t="s">
        <v>20</v>
      </c>
      <c r="G1054">
        <v>150.4</v>
      </c>
      <c r="H1054">
        <v>9</v>
      </c>
      <c r="I1054">
        <v>51.93</v>
      </c>
    </row>
    <row r="1055" spans="1:9" x14ac:dyDescent="0.35">
      <c r="A1055" t="s">
        <v>1259</v>
      </c>
      <c r="B1055" t="s">
        <v>1256</v>
      </c>
      <c r="C1055" t="s">
        <v>26</v>
      </c>
      <c r="D1055" t="s">
        <v>17</v>
      </c>
      <c r="E1055" t="s">
        <v>4</v>
      </c>
      <c r="F1055" t="s">
        <v>20</v>
      </c>
      <c r="G1055">
        <v>416.26</v>
      </c>
      <c r="H1055">
        <v>4</v>
      </c>
      <c r="I1055">
        <v>91.03</v>
      </c>
    </row>
    <row r="1056" spans="1:9" x14ac:dyDescent="0.35">
      <c r="A1056" t="s">
        <v>1260</v>
      </c>
      <c r="B1056" t="s">
        <v>1256</v>
      </c>
      <c r="C1056" t="s">
        <v>34</v>
      </c>
      <c r="D1056" t="s">
        <v>23</v>
      </c>
      <c r="E1056" t="s">
        <v>4</v>
      </c>
      <c r="F1056" t="s">
        <v>24</v>
      </c>
      <c r="G1056">
        <v>123</v>
      </c>
      <c r="H1056">
        <v>5</v>
      </c>
      <c r="I1056">
        <v>37.340000000000003</v>
      </c>
    </row>
    <row r="1057" spans="1:9" x14ac:dyDescent="0.35">
      <c r="A1057" t="s">
        <v>1261</v>
      </c>
      <c r="B1057" t="s">
        <v>1256</v>
      </c>
      <c r="C1057" t="s">
        <v>22</v>
      </c>
      <c r="D1057" t="s">
        <v>23</v>
      </c>
      <c r="E1057" t="s">
        <v>3</v>
      </c>
      <c r="F1057" t="s">
        <v>27</v>
      </c>
      <c r="G1057">
        <v>297.67</v>
      </c>
      <c r="H1057">
        <v>9</v>
      </c>
      <c r="I1057">
        <v>2.9</v>
      </c>
    </row>
    <row r="1058" spans="1:9" x14ac:dyDescent="0.35">
      <c r="A1058" t="s">
        <v>1262</v>
      </c>
      <c r="B1058" t="s">
        <v>1263</v>
      </c>
      <c r="C1058" t="s">
        <v>26</v>
      </c>
      <c r="D1058" t="s">
        <v>38</v>
      </c>
      <c r="E1058" t="s">
        <v>4</v>
      </c>
      <c r="F1058" t="s">
        <v>24</v>
      </c>
      <c r="G1058">
        <v>108.56</v>
      </c>
      <c r="H1058">
        <v>1</v>
      </c>
      <c r="I1058">
        <v>8.56</v>
      </c>
    </row>
    <row r="1059" spans="1:9" x14ac:dyDescent="0.35">
      <c r="A1059" t="s">
        <v>1264</v>
      </c>
      <c r="B1059" t="s">
        <v>1263</v>
      </c>
      <c r="C1059" t="s">
        <v>34</v>
      </c>
      <c r="D1059" t="s">
        <v>23</v>
      </c>
      <c r="E1059" t="s">
        <v>3</v>
      </c>
      <c r="F1059" t="s">
        <v>18</v>
      </c>
      <c r="G1059">
        <v>204.95</v>
      </c>
      <c r="H1059">
        <v>4</v>
      </c>
      <c r="I1059">
        <v>-7.85</v>
      </c>
    </row>
    <row r="1060" spans="1:9" x14ac:dyDescent="0.35">
      <c r="A1060" t="s">
        <v>1265</v>
      </c>
      <c r="B1060" t="s">
        <v>1263</v>
      </c>
      <c r="C1060" t="s">
        <v>34</v>
      </c>
      <c r="D1060" t="s">
        <v>17</v>
      </c>
      <c r="E1060" t="s">
        <v>3</v>
      </c>
      <c r="F1060" t="s">
        <v>27</v>
      </c>
      <c r="G1060">
        <v>217.44</v>
      </c>
      <c r="H1060">
        <v>7</v>
      </c>
      <c r="I1060">
        <v>-5.74</v>
      </c>
    </row>
    <row r="1061" spans="1:9" x14ac:dyDescent="0.35">
      <c r="A1061" t="s">
        <v>1266</v>
      </c>
      <c r="B1061" t="s">
        <v>1263</v>
      </c>
      <c r="C1061" t="s">
        <v>26</v>
      </c>
      <c r="D1061" t="s">
        <v>38</v>
      </c>
      <c r="E1061" t="s">
        <v>4</v>
      </c>
      <c r="F1061" t="s">
        <v>24</v>
      </c>
      <c r="G1061">
        <v>48.67</v>
      </c>
      <c r="H1061">
        <v>9</v>
      </c>
      <c r="I1061">
        <v>2.73</v>
      </c>
    </row>
    <row r="1062" spans="1:9" x14ac:dyDescent="0.35">
      <c r="A1062" t="s">
        <v>1267</v>
      </c>
      <c r="B1062" t="s">
        <v>1263</v>
      </c>
      <c r="C1062" t="s">
        <v>26</v>
      </c>
      <c r="D1062" t="s">
        <v>38</v>
      </c>
      <c r="E1062" t="s">
        <v>4</v>
      </c>
      <c r="F1062" t="s">
        <v>24</v>
      </c>
      <c r="G1062">
        <v>87.23</v>
      </c>
      <c r="H1062">
        <v>6</v>
      </c>
      <c r="I1062">
        <v>9.73</v>
      </c>
    </row>
    <row r="1063" spans="1:9" x14ac:dyDescent="0.35">
      <c r="A1063" t="s">
        <v>1268</v>
      </c>
      <c r="B1063" t="s">
        <v>1263</v>
      </c>
      <c r="C1063" t="s">
        <v>22</v>
      </c>
      <c r="D1063" t="s">
        <v>17</v>
      </c>
      <c r="E1063" t="s">
        <v>4</v>
      </c>
      <c r="F1063" t="s">
        <v>20</v>
      </c>
      <c r="G1063">
        <v>172.13</v>
      </c>
      <c r="H1063">
        <v>8</v>
      </c>
      <c r="I1063">
        <v>22.28</v>
      </c>
    </row>
    <row r="1064" spans="1:9" x14ac:dyDescent="0.35">
      <c r="A1064" t="s">
        <v>1269</v>
      </c>
      <c r="B1064" t="s">
        <v>1270</v>
      </c>
      <c r="C1064" t="s">
        <v>34</v>
      </c>
      <c r="D1064" t="s">
        <v>38</v>
      </c>
      <c r="E1064" t="s">
        <v>4</v>
      </c>
      <c r="F1064" t="s">
        <v>39</v>
      </c>
      <c r="G1064">
        <v>31</v>
      </c>
      <c r="H1064">
        <v>9</v>
      </c>
      <c r="I1064">
        <v>9.6300000000000008</v>
      </c>
    </row>
    <row r="1065" spans="1:9" x14ac:dyDescent="0.35">
      <c r="A1065" t="s">
        <v>1271</v>
      </c>
      <c r="B1065" t="s">
        <v>1270</v>
      </c>
      <c r="C1065" t="s">
        <v>34</v>
      </c>
      <c r="D1065" t="s">
        <v>17</v>
      </c>
      <c r="E1065" t="s">
        <v>3</v>
      </c>
      <c r="F1065" t="s">
        <v>27</v>
      </c>
      <c r="G1065">
        <v>87.3</v>
      </c>
      <c r="H1065">
        <v>4</v>
      </c>
      <c r="I1065">
        <v>-22.53</v>
      </c>
    </row>
    <row r="1066" spans="1:9" x14ac:dyDescent="0.35">
      <c r="A1066" t="s">
        <v>1272</v>
      </c>
      <c r="B1066" t="s">
        <v>1270</v>
      </c>
      <c r="C1066" t="s">
        <v>16</v>
      </c>
      <c r="D1066" t="s">
        <v>38</v>
      </c>
      <c r="E1066" t="s">
        <v>3</v>
      </c>
      <c r="F1066" t="s">
        <v>49</v>
      </c>
      <c r="G1066">
        <v>134.79</v>
      </c>
      <c r="H1066">
        <v>1</v>
      </c>
      <c r="I1066">
        <v>9.51</v>
      </c>
    </row>
    <row r="1067" spans="1:9" x14ac:dyDescent="0.35">
      <c r="A1067" t="s">
        <v>1273</v>
      </c>
      <c r="B1067" t="s">
        <v>1270</v>
      </c>
      <c r="C1067" t="s">
        <v>34</v>
      </c>
      <c r="D1067" t="s">
        <v>17</v>
      </c>
      <c r="E1067" t="s">
        <v>4</v>
      </c>
      <c r="F1067" t="s">
        <v>24</v>
      </c>
      <c r="G1067">
        <v>856.88</v>
      </c>
      <c r="H1067">
        <v>8</v>
      </c>
      <c r="I1067">
        <v>48.26</v>
      </c>
    </row>
    <row r="1068" spans="1:9" x14ac:dyDescent="0.35">
      <c r="A1068" t="s">
        <v>1274</v>
      </c>
      <c r="B1068" t="s">
        <v>1270</v>
      </c>
      <c r="C1068" t="s">
        <v>22</v>
      </c>
      <c r="D1068" t="s">
        <v>17</v>
      </c>
      <c r="E1068" t="s">
        <v>5</v>
      </c>
      <c r="F1068" t="s">
        <v>41</v>
      </c>
      <c r="G1068">
        <v>116.52</v>
      </c>
      <c r="H1068">
        <v>2</v>
      </c>
      <c r="I1068">
        <v>13.14</v>
      </c>
    </row>
    <row r="1069" spans="1:9" x14ac:dyDescent="0.35">
      <c r="A1069" t="s">
        <v>1275</v>
      </c>
      <c r="B1069" t="s">
        <v>1270</v>
      </c>
      <c r="C1069" t="s">
        <v>16</v>
      </c>
      <c r="D1069" t="s">
        <v>17</v>
      </c>
      <c r="E1069" t="s">
        <v>5</v>
      </c>
      <c r="F1069" t="s">
        <v>29</v>
      </c>
      <c r="G1069">
        <v>273.97000000000003</v>
      </c>
      <c r="H1069">
        <v>1</v>
      </c>
      <c r="I1069">
        <v>100.82</v>
      </c>
    </row>
    <row r="1070" spans="1:9" x14ac:dyDescent="0.35">
      <c r="A1070" t="s">
        <v>1276</v>
      </c>
      <c r="B1070" t="s">
        <v>1277</v>
      </c>
      <c r="C1070" t="s">
        <v>16</v>
      </c>
      <c r="D1070" t="s">
        <v>23</v>
      </c>
      <c r="E1070" t="s">
        <v>3</v>
      </c>
      <c r="F1070" t="s">
        <v>18</v>
      </c>
      <c r="G1070">
        <v>104.86</v>
      </c>
      <c r="H1070">
        <v>7</v>
      </c>
      <c r="I1070">
        <v>2.4300000000000002</v>
      </c>
    </row>
    <row r="1071" spans="1:9" x14ac:dyDescent="0.35">
      <c r="A1071" t="s">
        <v>1278</v>
      </c>
      <c r="B1071" t="s">
        <v>1277</v>
      </c>
      <c r="C1071" t="s">
        <v>16</v>
      </c>
      <c r="D1071" t="s">
        <v>17</v>
      </c>
      <c r="E1071" t="s">
        <v>5</v>
      </c>
      <c r="F1071" t="s">
        <v>31</v>
      </c>
      <c r="G1071">
        <v>258.73</v>
      </c>
      <c r="H1071">
        <v>9</v>
      </c>
      <c r="I1071">
        <v>97.14</v>
      </c>
    </row>
    <row r="1072" spans="1:9" x14ac:dyDescent="0.35">
      <c r="A1072" t="s">
        <v>1279</v>
      </c>
      <c r="B1072" t="s">
        <v>1277</v>
      </c>
      <c r="C1072" t="s">
        <v>26</v>
      </c>
      <c r="D1072" t="s">
        <v>17</v>
      </c>
      <c r="E1072" t="s">
        <v>5</v>
      </c>
      <c r="F1072" t="s">
        <v>41</v>
      </c>
      <c r="G1072">
        <v>155.72999999999999</v>
      </c>
      <c r="H1072">
        <v>9</v>
      </c>
      <c r="I1072">
        <v>51.4</v>
      </c>
    </row>
    <row r="1073" spans="1:9" x14ac:dyDescent="0.35">
      <c r="A1073" t="s">
        <v>1280</v>
      </c>
      <c r="B1073" t="s">
        <v>1277</v>
      </c>
      <c r="C1073" t="s">
        <v>26</v>
      </c>
      <c r="D1073" t="s">
        <v>23</v>
      </c>
      <c r="E1073" t="s">
        <v>5</v>
      </c>
      <c r="F1073" t="s">
        <v>29</v>
      </c>
      <c r="G1073">
        <v>346.52</v>
      </c>
      <c r="H1073">
        <v>3</v>
      </c>
      <c r="I1073">
        <v>158.01</v>
      </c>
    </row>
    <row r="1074" spans="1:9" x14ac:dyDescent="0.35">
      <c r="A1074" t="s">
        <v>1281</v>
      </c>
      <c r="B1074" t="s">
        <v>1277</v>
      </c>
      <c r="C1074" t="s">
        <v>34</v>
      </c>
      <c r="D1074" t="s">
        <v>38</v>
      </c>
      <c r="E1074" t="s">
        <v>5</v>
      </c>
      <c r="F1074" t="s">
        <v>31</v>
      </c>
      <c r="G1074">
        <v>99.38</v>
      </c>
      <c r="H1074">
        <v>6</v>
      </c>
      <c r="I1074">
        <v>30.4</v>
      </c>
    </row>
    <row r="1075" spans="1:9" x14ac:dyDescent="0.35">
      <c r="A1075" t="s">
        <v>1282</v>
      </c>
      <c r="B1075" t="s">
        <v>1277</v>
      </c>
      <c r="C1075" t="s">
        <v>16</v>
      </c>
      <c r="D1075" t="s">
        <v>17</v>
      </c>
      <c r="E1075" t="s">
        <v>5</v>
      </c>
      <c r="F1075" t="s">
        <v>31</v>
      </c>
      <c r="G1075">
        <v>159.07</v>
      </c>
      <c r="H1075">
        <v>7</v>
      </c>
      <c r="I1075">
        <v>37.28</v>
      </c>
    </row>
    <row r="1076" spans="1:9" x14ac:dyDescent="0.35">
      <c r="A1076" t="s">
        <v>1283</v>
      </c>
      <c r="B1076" t="s">
        <v>1284</v>
      </c>
      <c r="C1076" t="s">
        <v>22</v>
      </c>
      <c r="D1076" t="s">
        <v>17</v>
      </c>
      <c r="E1076" t="s">
        <v>4</v>
      </c>
      <c r="F1076" t="s">
        <v>20</v>
      </c>
      <c r="G1076">
        <v>169.15</v>
      </c>
      <c r="H1076">
        <v>9</v>
      </c>
      <c r="I1076">
        <v>31.17</v>
      </c>
    </row>
    <row r="1077" spans="1:9" x14ac:dyDescent="0.35">
      <c r="A1077" t="s">
        <v>1285</v>
      </c>
      <c r="B1077" t="s">
        <v>1284</v>
      </c>
      <c r="C1077" t="s">
        <v>26</v>
      </c>
      <c r="D1077" t="s">
        <v>17</v>
      </c>
      <c r="E1077" t="s">
        <v>3</v>
      </c>
      <c r="F1077" t="s">
        <v>18</v>
      </c>
      <c r="G1077">
        <v>101.03</v>
      </c>
      <c r="H1077">
        <v>2</v>
      </c>
      <c r="I1077">
        <v>7.51</v>
      </c>
    </row>
    <row r="1078" spans="1:9" x14ac:dyDescent="0.35">
      <c r="A1078" t="s">
        <v>1286</v>
      </c>
      <c r="B1078" t="s">
        <v>1284</v>
      </c>
      <c r="C1078" t="s">
        <v>22</v>
      </c>
      <c r="D1078" t="s">
        <v>17</v>
      </c>
      <c r="E1078" t="s">
        <v>3</v>
      </c>
      <c r="F1078" t="s">
        <v>27</v>
      </c>
      <c r="G1078">
        <v>43.38</v>
      </c>
      <c r="H1078">
        <v>8</v>
      </c>
      <c r="I1078">
        <v>-5.55</v>
      </c>
    </row>
    <row r="1079" spans="1:9" x14ac:dyDescent="0.35">
      <c r="A1079" t="s">
        <v>1287</v>
      </c>
      <c r="B1079" t="s">
        <v>1284</v>
      </c>
      <c r="C1079" t="s">
        <v>22</v>
      </c>
      <c r="D1079" t="s">
        <v>38</v>
      </c>
      <c r="E1079" t="s">
        <v>4</v>
      </c>
      <c r="F1079" t="s">
        <v>39</v>
      </c>
      <c r="G1079">
        <v>34.729999999999997</v>
      </c>
      <c r="H1079">
        <v>7</v>
      </c>
      <c r="I1079">
        <v>2.95</v>
      </c>
    </row>
    <row r="1080" spans="1:9" x14ac:dyDescent="0.35">
      <c r="A1080" t="s">
        <v>1288</v>
      </c>
      <c r="B1080" t="s">
        <v>1284</v>
      </c>
      <c r="C1080" t="s">
        <v>26</v>
      </c>
      <c r="D1080" t="s">
        <v>38</v>
      </c>
      <c r="E1080" t="s">
        <v>5</v>
      </c>
      <c r="F1080" t="s">
        <v>41</v>
      </c>
      <c r="G1080">
        <v>22.52</v>
      </c>
      <c r="H1080">
        <v>4</v>
      </c>
      <c r="I1080">
        <v>4.93</v>
      </c>
    </row>
    <row r="1081" spans="1:9" x14ac:dyDescent="0.35">
      <c r="A1081" t="s">
        <v>1289</v>
      </c>
      <c r="B1081" t="s">
        <v>1284</v>
      </c>
      <c r="C1081" t="s">
        <v>26</v>
      </c>
      <c r="D1081" t="s">
        <v>23</v>
      </c>
      <c r="E1081" t="s">
        <v>4</v>
      </c>
      <c r="F1081" t="s">
        <v>39</v>
      </c>
      <c r="G1081">
        <v>330.17</v>
      </c>
      <c r="H1081">
        <v>2</v>
      </c>
      <c r="I1081">
        <v>-19.96</v>
      </c>
    </row>
    <row r="1082" spans="1:9" x14ac:dyDescent="0.35">
      <c r="A1082" t="s">
        <v>1290</v>
      </c>
      <c r="B1082" t="s">
        <v>1291</v>
      </c>
      <c r="C1082" t="s">
        <v>26</v>
      </c>
      <c r="D1082" t="s">
        <v>17</v>
      </c>
      <c r="E1082" t="s">
        <v>4</v>
      </c>
      <c r="F1082" t="s">
        <v>24</v>
      </c>
      <c r="G1082">
        <v>60.47</v>
      </c>
      <c r="H1082">
        <v>8</v>
      </c>
      <c r="I1082">
        <v>9.91</v>
      </c>
    </row>
    <row r="1083" spans="1:9" x14ac:dyDescent="0.35">
      <c r="A1083" t="s">
        <v>1292</v>
      </c>
      <c r="B1083" t="s">
        <v>1291</v>
      </c>
      <c r="C1083" t="s">
        <v>26</v>
      </c>
      <c r="D1083" t="s">
        <v>23</v>
      </c>
      <c r="E1083" t="s">
        <v>5</v>
      </c>
      <c r="F1083" t="s">
        <v>29</v>
      </c>
      <c r="G1083">
        <v>55.64</v>
      </c>
      <c r="H1083">
        <v>5</v>
      </c>
      <c r="I1083">
        <v>3.42</v>
      </c>
    </row>
    <row r="1084" spans="1:9" x14ac:dyDescent="0.35">
      <c r="A1084" t="s">
        <v>1293</v>
      </c>
      <c r="B1084" t="s">
        <v>1291</v>
      </c>
      <c r="C1084" t="s">
        <v>16</v>
      </c>
      <c r="D1084" t="s">
        <v>23</v>
      </c>
      <c r="E1084" t="s">
        <v>3</v>
      </c>
      <c r="F1084" t="s">
        <v>27</v>
      </c>
      <c r="G1084">
        <v>219.79</v>
      </c>
      <c r="H1084">
        <v>6</v>
      </c>
      <c r="I1084">
        <v>-9.82</v>
      </c>
    </row>
    <row r="1085" spans="1:9" x14ac:dyDescent="0.35">
      <c r="A1085" t="s">
        <v>1294</v>
      </c>
      <c r="B1085" t="s">
        <v>1291</v>
      </c>
      <c r="C1085" t="s">
        <v>16</v>
      </c>
      <c r="D1085" t="s">
        <v>38</v>
      </c>
      <c r="E1085" t="s">
        <v>4</v>
      </c>
      <c r="F1085" t="s">
        <v>20</v>
      </c>
      <c r="G1085">
        <v>77.849999999999994</v>
      </c>
      <c r="H1085">
        <v>7</v>
      </c>
      <c r="I1085">
        <v>18.41</v>
      </c>
    </row>
    <row r="1086" spans="1:9" x14ac:dyDescent="0.35">
      <c r="A1086" t="s">
        <v>1295</v>
      </c>
      <c r="B1086" t="s">
        <v>1291</v>
      </c>
      <c r="C1086" t="s">
        <v>16</v>
      </c>
      <c r="D1086" t="s">
        <v>23</v>
      </c>
      <c r="E1086" t="s">
        <v>4</v>
      </c>
      <c r="F1086" t="s">
        <v>39</v>
      </c>
      <c r="G1086">
        <v>125.8</v>
      </c>
      <c r="H1086">
        <v>1</v>
      </c>
      <c r="I1086">
        <v>12.87</v>
      </c>
    </row>
    <row r="1087" spans="1:9" x14ac:dyDescent="0.35">
      <c r="A1087" t="s">
        <v>1296</v>
      </c>
      <c r="B1087" t="s">
        <v>1291</v>
      </c>
      <c r="C1087" t="s">
        <v>16</v>
      </c>
      <c r="D1087" t="s">
        <v>23</v>
      </c>
      <c r="E1087" t="s">
        <v>3</v>
      </c>
      <c r="F1087" t="s">
        <v>49</v>
      </c>
      <c r="G1087">
        <v>46.6</v>
      </c>
      <c r="H1087">
        <v>8</v>
      </c>
      <c r="I1087">
        <v>5.49</v>
      </c>
    </row>
    <row r="1088" spans="1:9" x14ac:dyDescent="0.35">
      <c r="A1088" t="s">
        <v>1297</v>
      </c>
      <c r="B1088" t="s">
        <v>1298</v>
      </c>
      <c r="C1088" t="s">
        <v>34</v>
      </c>
      <c r="D1088" t="s">
        <v>23</v>
      </c>
      <c r="E1088" t="s">
        <v>4</v>
      </c>
      <c r="F1088" t="s">
        <v>20</v>
      </c>
      <c r="G1088">
        <v>501.88</v>
      </c>
      <c r="H1088">
        <v>4</v>
      </c>
      <c r="I1088">
        <v>1.98</v>
      </c>
    </row>
    <row r="1089" spans="1:9" x14ac:dyDescent="0.35">
      <c r="A1089" t="s">
        <v>1299</v>
      </c>
      <c r="B1089" t="s">
        <v>1298</v>
      </c>
      <c r="C1089" t="s">
        <v>16</v>
      </c>
      <c r="D1089" t="s">
        <v>17</v>
      </c>
      <c r="E1089" t="s">
        <v>5</v>
      </c>
      <c r="F1089" t="s">
        <v>29</v>
      </c>
      <c r="G1089">
        <v>306.16000000000003</v>
      </c>
      <c r="H1089">
        <v>9</v>
      </c>
      <c r="I1089">
        <v>113.01</v>
      </c>
    </row>
    <row r="1090" spans="1:9" x14ac:dyDescent="0.35">
      <c r="A1090" t="s">
        <v>1300</v>
      </c>
      <c r="B1090" t="s">
        <v>1298</v>
      </c>
      <c r="C1090" t="s">
        <v>26</v>
      </c>
      <c r="D1090" t="s">
        <v>38</v>
      </c>
      <c r="E1090" t="s">
        <v>4</v>
      </c>
      <c r="F1090" t="s">
        <v>24</v>
      </c>
      <c r="G1090">
        <v>319.02999999999997</v>
      </c>
      <c r="H1090">
        <v>1</v>
      </c>
      <c r="I1090">
        <v>69.39</v>
      </c>
    </row>
    <row r="1091" spans="1:9" x14ac:dyDescent="0.35">
      <c r="A1091" t="s">
        <v>1301</v>
      </c>
      <c r="B1091" t="s">
        <v>1298</v>
      </c>
      <c r="C1091" t="s">
        <v>22</v>
      </c>
      <c r="D1091" t="s">
        <v>23</v>
      </c>
      <c r="E1091" t="s">
        <v>5</v>
      </c>
      <c r="F1091" t="s">
        <v>41</v>
      </c>
      <c r="G1091">
        <v>98.33</v>
      </c>
      <c r="H1091">
        <v>2</v>
      </c>
      <c r="I1091">
        <v>7.71</v>
      </c>
    </row>
    <row r="1092" spans="1:9" x14ac:dyDescent="0.35">
      <c r="A1092" t="s">
        <v>1302</v>
      </c>
      <c r="B1092" t="s">
        <v>1298</v>
      </c>
      <c r="C1092" t="s">
        <v>16</v>
      </c>
      <c r="D1092" t="s">
        <v>23</v>
      </c>
      <c r="E1092" t="s">
        <v>4</v>
      </c>
      <c r="F1092" t="s">
        <v>24</v>
      </c>
      <c r="G1092">
        <v>235.55</v>
      </c>
      <c r="H1092">
        <v>6</v>
      </c>
      <c r="I1092">
        <v>99.19</v>
      </c>
    </row>
    <row r="1093" spans="1:9" x14ac:dyDescent="0.35">
      <c r="A1093" t="s">
        <v>1303</v>
      </c>
      <c r="B1093" t="s">
        <v>1298</v>
      </c>
      <c r="C1093" t="s">
        <v>34</v>
      </c>
      <c r="D1093" t="s">
        <v>17</v>
      </c>
      <c r="E1093" t="s">
        <v>4</v>
      </c>
      <c r="F1093" t="s">
        <v>24</v>
      </c>
      <c r="G1093">
        <v>43.3</v>
      </c>
      <c r="H1093">
        <v>1</v>
      </c>
      <c r="I1093">
        <v>6.22</v>
      </c>
    </row>
    <row r="1094" spans="1:9" x14ac:dyDescent="0.35">
      <c r="A1094" t="s">
        <v>1304</v>
      </c>
      <c r="B1094" t="s">
        <v>1305</v>
      </c>
      <c r="C1094" t="s">
        <v>26</v>
      </c>
      <c r="D1094" t="s">
        <v>23</v>
      </c>
      <c r="E1094" t="s">
        <v>4</v>
      </c>
      <c r="F1094" t="s">
        <v>24</v>
      </c>
      <c r="G1094">
        <v>21.3</v>
      </c>
      <c r="H1094">
        <v>4</v>
      </c>
      <c r="I1094">
        <v>1.33</v>
      </c>
    </row>
    <row r="1095" spans="1:9" x14ac:dyDescent="0.35">
      <c r="A1095" t="s">
        <v>1306</v>
      </c>
      <c r="B1095" t="s">
        <v>1305</v>
      </c>
      <c r="C1095" t="s">
        <v>22</v>
      </c>
      <c r="D1095" t="s">
        <v>23</v>
      </c>
      <c r="E1095" t="s">
        <v>3</v>
      </c>
      <c r="F1095" t="s">
        <v>49</v>
      </c>
      <c r="G1095">
        <v>23.03</v>
      </c>
      <c r="H1095">
        <v>8</v>
      </c>
      <c r="I1095">
        <v>-4.3899999999999997</v>
      </c>
    </row>
    <row r="1096" spans="1:9" x14ac:dyDescent="0.35">
      <c r="A1096" t="s">
        <v>1307</v>
      </c>
      <c r="B1096" t="s">
        <v>1305</v>
      </c>
      <c r="C1096" t="s">
        <v>22</v>
      </c>
      <c r="D1096" t="s">
        <v>17</v>
      </c>
      <c r="E1096" t="s">
        <v>5</v>
      </c>
      <c r="F1096" t="s">
        <v>31</v>
      </c>
      <c r="G1096">
        <v>152.5</v>
      </c>
      <c r="H1096">
        <v>5</v>
      </c>
      <c r="I1096">
        <v>34.770000000000003</v>
      </c>
    </row>
    <row r="1097" spans="1:9" x14ac:dyDescent="0.35">
      <c r="A1097" t="s">
        <v>1308</v>
      </c>
      <c r="B1097" t="s">
        <v>1305</v>
      </c>
      <c r="C1097" t="s">
        <v>16</v>
      </c>
      <c r="D1097" t="s">
        <v>17</v>
      </c>
      <c r="E1097" t="s">
        <v>5</v>
      </c>
      <c r="F1097" t="s">
        <v>31</v>
      </c>
      <c r="G1097">
        <v>111.15</v>
      </c>
      <c r="H1097">
        <v>9</v>
      </c>
      <c r="I1097">
        <v>26.37</v>
      </c>
    </row>
    <row r="1098" spans="1:9" x14ac:dyDescent="0.35">
      <c r="A1098" t="s">
        <v>1309</v>
      </c>
      <c r="B1098" t="s">
        <v>1305</v>
      </c>
      <c r="C1098" t="s">
        <v>22</v>
      </c>
      <c r="D1098" t="s">
        <v>23</v>
      </c>
      <c r="E1098" t="s">
        <v>5</v>
      </c>
      <c r="F1098" t="s">
        <v>31</v>
      </c>
      <c r="G1098">
        <v>129.47999999999999</v>
      </c>
      <c r="H1098">
        <v>6</v>
      </c>
      <c r="I1098">
        <v>33.700000000000003</v>
      </c>
    </row>
    <row r="1099" spans="1:9" x14ac:dyDescent="0.35">
      <c r="A1099" t="s">
        <v>1310</v>
      </c>
      <c r="B1099" t="s">
        <v>1305</v>
      </c>
      <c r="C1099" t="s">
        <v>16</v>
      </c>
      <c r="D1099" t="s">
        <v>23</v>
      </c>
      <c r="E1099" t="s">
        <v>5</v>
      </c>
      <c r="F1099" t="s">
        <v>31</v>
      </c>
      <c r="G1099">
        <v>21.12</v>
      </c>
      <c r="H1099">
        <v>1</v>
      </c>
      <c r="I1099">
        <v>4.6500000000000004</v>
      </c>
    </row>
    <row r="1100" spans="1:9" x14ac:dyDescent="0.35">
      <c r="A1100" t="s">
        <v>1311</v>
      </c>
      <c r="B1100" t="s">
        <v>1312</v>
      </c>
      <c r="C1100" t="s">
        <v>16</v>
      </c>
      <c r="D1100" t="s">
        <v>23</v>
      </c>
      <c r="E1100" t="s">
        <v>4</v>
      </c>
      <c r="F1100" t="s">
        <v>24</v>
      </c>
      <c r="G1100">
        <v>102.41</v>
      </c>
      <c r="H1100">
        <v>6</v>
      </c>
      <c r="I1100">
        <v>21.85</v>
      </c>
    </row>
    <row r="1101" spans="1:9" x14ac:dyDescent="0.35">
      <c r="A1101" t="s">
        <v>1313</v>
      </c>
      <c r="B1101" t="s">
        <v>1312</v>
      </c>
      <c r="C1101" t="s">
        <v>26</v>
      </c>
      <c r="D1101" t="s">
        <v>17</v>
      </c>
      <c r="E1101" t="s">
        <v>3</v>
      </c>
      <c r="F1101" t="s">
        <v>27</v>
      </c>
      <c r="G1101">
        <v>209.91</v>
      </c>
      <c r="H1101">
        <v>6</v>
      </c>
      <c r="I1101">
        <v>-18.63</v>
      </c>
    </row>
    <row r="1102" spans="1:9" x14ac:dyDescent="0.35">
      <c r="A1102" t="s">
        <v>1314</v>
      </c>
      <c r="B1102" t="s">
        <v>1312</v>
      </c>
      <c r="C1102" t="s">
        <v>26</v>
      </c>
      <c r="D1102" t="s">
        <v>23</v>
      </c>
      <c r="E1102" t="s">
        <v>5</v>
      </c>
      <c r="F1102" t="s">
        <v>41</v>
      </c>
      <c r="G1102">
        <v>107.7</v>
      </c>
      <c r="H1102">
        <v>6</v>
      </c>
      <c r="I1102">
        <v>6.09</v>
      </c>
    </row>
    <row r="1103" spans="1:9" x14ac:dyDescent="0.35">
      <c r="A1103" t="s">
        <v>1315</v>
      </c>
      <c r="B1103" t="s">
        <v>1312</v>
      </c>
      <c r="C1103" t="s">
        <v>34</v>
      </c>
      <c r="D1103" t="s">
        <v>17</v>
      </c>
      <c r="E1103" t="s">
        <v>4</v>
      </c>
      <c r="F1103" t="s">
        <v>24</v>
      </c>
      <c r="G1103">
        <v>217.64</v>
      </c>
      <c r="H1103">
        <v>8</v>
      </c>
      <c r="I1103">
        <v>29.4</v>
      </c>
    </row>
    <row r="1104" spans="1:9" x14ac:dyDescent="0.35">
      <c r="A1104" t="s">
        <v>1316</v>
      </c>
      <c r="B1104" t="s">
        <v>1312</v>
      </c>
      <c r="C1104" t="s">
        <v>26</v>
      </c>
      <c r="D1104" t="s">
        <v>17</v>
      </c>
      <c r="E1104" t="s">
        <v>4</v>
      </c>
      <c r="F1104" t="s">
        <v>20</v>
      </c>
      <c r="G1104">
        <v>59.79</v>
      </c>
      <c r="H1104">
        <v>6</v>
      </c>
      <c r="I1104">
        <v>-5.19</v>
      </c>
    </row>
    <row r="1105" spans="1:9" x14ac:dyDescent="0.35">
      <c r="A1105" t="s">
        <v>1317</v>
      </c>
      <c r="B1105" t="s">
        <v>1312</v>
      </c>
      <c r="C1105" t="s">
        <v>26</v>
      </c>
      <c r="D1105" t="s">
        <v>17</v>
      </c>
      <c r="E1105" t="s">
        <v>4</v>
      </c>
      <c r="F1105" t="s">
        <v>24</v>
      </c>
      <c r="G1105">
        <v>271.61</v>
      </c>
      <c r="H1105">
        <v>5</v>
      </c>
      <c r="I1105">
        <v>50.35</v>
      </c>
    </row>
    <row r="1106" spans="1:9" x14ac:dyDescent="0.35">
      <c r="A1106" t="s">
        <v>1318</v>
      </c>
      <c r="B1106" t="s">
        <v>1319</v>
      </c>
      <c r="C1106" t="s">
        <v>16</v>
      </c>
      <c r="D1106" t="s">
        <v>17</v>
      </c>
      <c r="E1106" t="s">
        <v>4</v>
      </c>
      <c r="F1106" t="s">
        <v>24</v>
      </c>
      <c r="G1106">
        <v>153.16999999999999</v>
      </c>
      <c r="H1106">
        <v>2</v>
      </c>
      <c r="I1106">
        <v>7.98</v>
      </c>
    </row>
    <row r="1107" spans="1:9" x14ac:dyDescent="0.35">
      <c r="A1107" t="s">
        <v>1320</v>
      </c>
      <c r="B1107" t="s">
        <v>1319</v>
      </c>
      <c r="C1107" t="s">
        <v>26</v>
      </c>
      <c r="D1107" t="s">
        <v>17</v>
      </c>
      <c r="E1107" t="s">
        <v>5</v>
      </c>
      <c r="F1107" t="s">
        <v>41</v>
      </c>
      <c r="G1107">
        <v>55.5</v>
      </c>
      <c r="H1107">
        <v>4</v>
      </c>
      <c r="I1107">
        <v>14.78</v>
      </c>
    </row>
    <row r="1108" spans="1:9" x14ac:dyDescent="0.35">
      <c r="A1108" t="s">
        <v>1321</v>
      </c>
      <c r="B1108" t="s">
        <v>1319</v>
      </c>
      <c r="C1108" t="s">
        <v>16</v>
      </c>
      <c r="D1108" t="s">
        <v>17</v>
      </c>
      <c r="E1108" t="s">
        <v>3</v>
      </c>
      <c r="F1108" t="s">
        <v>49</v>
      </c>
      <c r="G1108">
        <v>60.52</v>
      </c>
      <c r="H1108">
        <v>5</v>
      </c>
      <c r="I1108">
        <v>4.93</v>
      </c>
    </row>
    <row r="1109" spans="1:9" x14ac:dyDescent="0.35">
      <c r="A1109" t="s">
        <v>1322</v>
      </c>
      <c r="B1109" t="s">
        <v>1319</v>
      </c>
      <c r="C1109" t="s">
        <v>16</v>
      </c>
      <c r="D1109" t="s">
        <v>17</v>
      </c>
      <c r="E1109" t="s">
        <v>4</v>
      </c>
      <c r="F1109" t="s">
        <v>20</v>
      </c>
      <c r="G1109">
        <v>168.34</v>
      </c>
      <c r="H1109">
        <v>4</v>
      </c>
      <c r="I1109">
        <v>9.2799999999999994</v>
      </c>
    </row>
    <row r="1110" spans="1:9" x14ac:dyDescent="0.35">
      <c r="A1110" t="s">
        <v>1323</v>
      </c>
      <c r="B1110" t="s">
        <v>1319</v>
      </c>
      <c r="C1110" t="s">
        <v>26</v>
      </c>
      <c r="D1110" t="s">
        <v>17</v>
      </c>
      <c r="E1110" t="s">
        <v>4</v>
      </c>
      <c r="F1110" t="s">
        <v>20</v>
      </c>
      <c r="G1110">
        <v>285.74</v>
      </c>
      <c r="H1110">
        <v>2</v>
      </c>
      <c r="I1110">
        <v>73.19</v>
      </c>
    </row>
    <row r="1111" spans="1:9" x14ac:dyDescent="0.35">
      <c r="A1111" t="s">
        <v>1324</v>
      </c>
      <c r="B1111" t="s">
        <v>1319</v>
      </c>
      <c r="C1111" t="s">
        <v>34</v>
      </c>
      <c r="D1111" t="s">
        <v>23</v>
      </c>
      <c r="E1111" t="s">
        <v>5</v>
      </c>
      <c r="F1111" t="s">
        <v>41</v>
      </c>
      <c r="G1111">
        <v>100.58</v>
      </c>
      <c r="H1111">
        <v>7</v>
      </c>
      <c r="I1111">
        <v>20.79</v>
      </c>
    </row>
    <row r="1112" spans="1:9" x14ac:dyDescent="0.35">
      <c r="A1112" t="s">
        <v>1325</v>
      </c>
      <c r="B1112" t="s">
        <v>1326</v>
      </c>
      <c r="C1112" t="s">
        <v>34</v>
      </c>
      <c r="D1112" t="s">
        <v>17</v>
      </c>
      <c r="E1112" t="s">
        <v>4</v>
      </c>
      <c r="F1112" t="s">
        <v>39</v>
      </c>
      <c r="G1112">
        <v>64.819999999999993</v>
      </c>
      <c r="H1112">
        <v>2</v>
      </c>
      <c r="I1112">
        <v>21.09</v>
      </c>
    </row>
    <row r="1113" spans="1:9" x14ac:dyDescent="0.35">
      <c r="A1113" t="s">
        <v>1327</v>
      </c>
      <c r="B1113" t="s">
        <v>1326</v>
      </c>
      <c r="C1113" t="s">
        <v>22</v>
      </c>
      <c r="D1113" t="s">
        <v>17</v>
      </c>
      <c r="E1113" t="s">
        <v>5</v>
      </c>
      <c r="F1113" t="s">
        <v>31</v>
      </c>
      <c r="G1113">
        <v>322.62</v>
      </c>
      <c r="H1113">
        <v>1</v>
      </c>
      <c r="I1113">
        <v>68.87</v>
      </c>
    </row>
    <row r="1114" spans="1:9" x14ac:dyDescent="0.35">
      <c r="A1114" t="s">
        <v>1328</v>
      </c>
      <c r="B1114" t="s">
        <v>1326</v>
      </c>
      <c r="C1114" t="s">
        <v>22</v>
      </c>
      <c r="D1114" t="s">
        <v>38</v>
      </c>
      <c r="E1114" t="s">
        <v>5</v>
      </c>
      <c r="F1114" t="s">
        <v>41</v>
      </c>
      <c r="G1114">
        <v>185.97</v>
      </c>
      <c r="H1114">
        <v>5</v>
      </c>
      <c r="I1114">
        <v>30.86</v>
      </c>
    </row>
    <row r="1115" spans="1:9" x14ac:dyDescent="0.35">
      <c r="A1115" t="s">
        <v>1329</v>
      </c>
      <c r="B1115" t="s">
        <v>1326</v>
      </c>
      <c r="C1115" t="s">
        <v>26</v>
      </c>
      <c r="D1115" t="s">
        <v>17</v>
      </c>
      <c r="E1115" t="s">
        <v>3</v>
      </c>
      <c r="F1115" t="s">
        <v>18</v>
      </c>
      <c r="G1115">
        <v>109.15</v>
      </c>
      <c r="H1115">
        <v>1</v>
      </c>
      <c r="I1115">
        <v>2.04</v>
      </c>
    </row>
    <row r="1116" spans="1:9" x14ac:dyDescent="0.35">
      <c r="A1116" t="s">
        <v>1330</v>
      </c>
      <c r="B1116" t="s">
        <v>1326</v>
      </c>
      <c r="C1116" t="s">
        <v>34</v>
      </c>
      <c r="D1116" t="s">
        <v>23</v>
      </c>
      <c r="E1116" t="s">
        <v>3</v>
      </c>
      <c r="F1116" t="s">
        <v>27</v>
      </c>
      <c r="G1116">
        <v>120.39</v>
      </c>
      <c r="H1116">
        <v>1</v>
      </c>
      <c r="I1116">
        <v>-11.27</v>
      </c>
    </row>
    <row r="1117" spans="1:9" x14ac:dyDescent="0.35">
      <c r="A1117" t="s">
        <v>1331</v>
      </c>
      <c r="B1117" t="s">
        <v>1326</v>
      </c>
      <c r="C1117" t="s">
        <v>16</v>
      </c>
      <c r="D1117" t="s">
        <v>17</v>
      </c>
      <c r="E1117" t="s">
        <v>3</v>
      </c>
      <c r="F1117" t="s">
        <v>18</v>
      </c>
      <c r="G1117">
        <v>54.27</v>
      </c>
      <c r="H1117">
        <v>1</v>
      </c>
      <c r="I1117">
        <v>-7.28</v>
      </c>
    </row>
    <row r="1118" spans="1:9" x14ac:dyDescent="0.35">
      <c r="A1118" t="s">
        <v>1332</v>
      </c>
      <c r="B1118" t="s">
        <v>1333</v>
      </c>
      <c r="C1118" t="s">
        <v>22</v>
      </c>
      <c r="D1118" t="s">
        <v>17</v>
      </c>
      <c r="E1118" t="s">
        <v>5</v>
      </c>
      <c r="F1118" t="s">
        <v>31</v>
      </c>
      <c r="G1118">
        <v>167.85</v>
      </c>
      <c r="H1118">
        <v>6</v>
      </c>
      <c r="I1118">
        <v>33.94</v>
      </c>
    </row>
    <row r="1119" spans="1:9" x14ac:dyDescent="0.35">
      <c r="A1119" t="s">
        <v>1334</v>
      </c>
      <c r="B1119" t="s">
        <v>1333</v>
      </c>
      <c r="C1119" t="s">
        <v>16</v>
      </c>
      <c r="D1119" t="s">
        <v>23</v>
      </c>
      <c r="E1119" t="s">
        <v>4</v>
      </c>
      <c r="F1119" t="s">
        <v>39</v>
      </c>
      <c r="G1119">
        <v>86.65</v>
      </c>
      <c r="H1119">
        <v>9</v>
      </c>
      <c r="I1119">
        <v>12.61</v>
      </c>
    </row>
    <row r="1120" spans="1:9" x14ac:dyDescent="0.35">
      <c r="A1120" t="s">
        <v>1335</v>
      </c>
      <c r="B1120" t="s">
        <v>1333</v>
      </c>
      <c r="C1120" t="s">
        <v>22</v>
      </c>
      <c r="D1120" t="s">
        <v>23</v>
      </c>
      <c r="E1120" t="s">
        <v>5</v>
      </c>
      <c r="F1120" t="s">
        <v>29</v>
      </c>
      <c r="G1120">
        <v>835.47</v>
      </c>
      <c r="H1120">
        <v>1</v>
      </c>
      <c r="I1120">
        <v>321</v>
      </c>
    </row>
    <row r="1121" spans="1:9" x14ac:dyDescent="0.35">
      <c r="A1121" t="s">
        <v>1336</v>
      </c>
      <c r="B1121" t="s">
        <v>1333</v>
      </c>
      <c r="C1121" t="s">
        <v>26</v>
      </c>
      <c r="D1121" t="s">
        <v>38</v>
      </c>
      <c r="E1121" t="s">
        <v>5</v>
      </c>
      <c r="F1121" t="s">
        <v>31</v>
      </c>
      <c r="G1121">
        <v>118.14</v>
      </c>
      <c r="H1121">
        <v>5</v>
      </c>
      <c r="I1121">
        <v>6.69</v>
      </c>
    </row>
    <row r="1122" spans="1:9" x14ac:dyDescent="0.35">
      <c r="A1122" t="s">
        <v>1337</v>
      </c>
      <c r="B1122" t="s">
        <v>1333</v>
      </c>
      <c r="C1122" t="s">
        <v>34</v>
      </c>
      <c r="D1122" t="s">
        <v>23</v>
      </c>
      <c r="E1122" t="s">
        <v>4</v>
      </c>
      <c r="F1122" t="s">
        <v>24</v>
      </c>
      <c r="G1122">
        <v>119.8</v>
      </c>
      <c r="H1122">
        <v>9</v>
      </c>
      <c r="I1122">
        <v>18.25</v>
      </c>
    </row>
    <row r="1123" spans="1:9" x14ac:dyDescent="0.35">
      <c r="A1123" t="s">
        <v>1338</v>
      </c>
      <c r="B1123" t="s">
        <v>1333</v>
      </c>
      <c r="C1123" t="s">
        <v>22</v>
      </c>
      <c r="D1123" t="s">
        <v>38</v>
      </c>
      <c r="E1123" t="s">
        <v>4</v>
      </c>
      <c r="F1123" t="s">
        <v>39</v>
      </c>
      <c r="G1123">
        <v>145.16</v>
      </c>
      <c r="H1123">
        <v>9</v>
      </c>
      <c r="I1123">
        <v>30.85</v>
      </c>
    </row>
    <row r="1124" spans="1:9" x14ac:dyDescent="0.35">
      <c r="A1124" t="s">
        <v>1339</v>
      </c>
      <c r="B1124" t="s">
        <v>1340</v>
      </c>
      <c r="C1124" t="s">
        <v>34</v>
      </c>
      <c r="D1124" t="s">
        <v>17</v>
      </c>
      <c r="E1124" t="s">
        <v>4</v>
      </c>
      <c r="F1124" t="s">
        <v>39</v>
      </c>
      <c r="G1124">
        <v>392.9</v>
      </c>
      <c r="H1124">
        <v>1</v>
      </c>
      <c r="I1124">
        <v>66.540000000000006</v>
      </c>
    </row>
    <row r="1125" spans="1:9" x14ac:dyDescent="0.35">
      <c r="A1125" t="s">
        <v>1341</v>
      </c>
      <c r="B1125" t="s">
        <v>1340</v>
      </c>
      <c r="C1125" t="s">
        <v>16</v>
      </c>
      <c r="D1125" t="s">
        <v>17</v>
      </c>
      <c r="E1125" t="s">
        <v>4</v>
      </c>
      <c r="F1125" t="s">
        <v>39</v>
      </c>
      <c r="G1125">
        <v>262.02999999999997</v>
      </c>
      <c r="H1125">
        <v>8</v>
      </c>
      <c r="I1125">
        <v>73.63</v>
      </c>
    </row>
    <row r="1126" spans="1:9" x14ac:dyDescent="0.35">
      <c r="A1126" t="s">
        <v>1342</v>
      </c>
      <c r="B1126" t="s">
        <v>1340</v>
      </c>
      <c r="C1126" t="s">
        <v>26</v>
      </c>
      <c r="D1126" t="s">
        <v>17</v>
      </c>
      <c r="E1126" t="s">
        <v>4</v>
      </c>
      <c r="F1126" t="s">
        <v>20</v>
      </c>
      <c r="G1126">
        <v>109.98</v>
      </c>
      <c r="H1126">
        <v>1</v>
      </c>
      <c r="I1126">
        <v>15.68</v>
      </c>
    </row>
    <row r="1127" spans="1:9" x14ac:dyDescent="0.35">
      <c r="A1127" t="s">
        <v>1343</v>
      </c>
      <c r="B1127" t="s">
        <v>1340</v>
      </c>
      <c r="C1127" t="s">
        <v>34</v>
      </c>
      <c r="D1127" t="s">
        <v>17</v>
      </c>
      <c r="E1127" t="s">
        <v>3</v>
      </c>
      <c r="F1127" t="s">
        <v>27</v>
      </c>
      <c r="G1127">
        <v>210.25</v>
      </c>
      <c r="H1127">
        <v>8</v>
      </c>
      <c r="I1127">
        <v>-14.39</v>
      </c>
    </row>
    <row r="1128" spans="1:9" x14ac:dyDescent="0.35">
      <c r="A1128" t="s">
        <v>1344</v>
      </c>
      <c r="B1128" t="s">
        <v>1340</v>
      </c>
      <c r="C1128" t="s">
        <v>26</v>
      </c>
      <c r="D1128" t="s">
        <v>23</v>
      </c>
      <c r="E1128" t="s">
        <v>5</v>
      </c>
      <c r="F1128" t="s">
        <v>41</v>
      </c>
      <c r="G1128">
        <v>152.37</v>
      </c>
      <c r="H1128">
        <v>1</v>
      </c>
      <c r="I1128">
        <v>47.12</v>
      </c>
    </row>
    <row r="1129" spans="1:9" x14ac:dyDescent="0.35">
      <c r="A1129" t="s">
        <v>1345</v>
      </c>
      <c r="B1129" t="s">
        <v>1340</v>
      </c>
      <c r="C1129" t="s">
        <v>34</v>
      </c>
      <c r="D1129" t="s">
        <v>23</v>
      </c>
      <c r="E1129" t="s">
        <v>3</v>
      </c>
      <c r="F1129" t="s">
        <v>18</v>
      </c>
      <c r="G1129">
        <v>121.7</v>
      </c>
      <c r="H1129">
        <v>5</v>
      </c>
      <c r="I1129">
        <v>-4.88</v>
      </c>
    </row>
    <row r="1130" spans="1:9" x14ac:dyDescent="0.35">
      <c r="A1130" t="s">
        <v>1346</v>
      </c>
      <c r="B1130" t="s">
        <v>1347</v>
      </c>
      <c r="C1130" t="s">
        <v>16</v>
      </c>
      <c r="D1130" t="s">
        <v>17</v>
      </c>
      <c r="E1130" t="s">
        <v>3</v>
      </c>
      <c r="F1130" t="s">
        <v>18</v>
      </c>
      <c r="G1130">
        <v>52.04</v>
      </c>
      <c r="H1130">
        <v>8</v>
      </c>
      <c r="I1130">
        <v>-4.63</v>
      </c>
    </row>
    <row r="1131" spans="1:9" x14ac:dyDescent="0.35">
      <c r="A1131" t="s">
        <v>1348</v>
      </c>
      <c r="B1131" t="s">
        <v>1347</v>
      </c>
      <c r="C1131" t="s">
        <v>16</v>
      </c>
      <c r="D1131" t="s">
        <v>38</v>
      </c>
      <c r="E1131" t="s">
        <v>5</v>
      </c>
      <c r="F1131" t="s">
        <v>29</v>
      </c>
      <c r="G1131">
        <v>113.53</v>
      </c>
      <c r="H1131">
        <v>6</v>
      </c>
      <c r="I1131">
        <v>34.24</v>
      </c>
    </row>
    <row r="1132" spans="1:9" x14ac:dyDescent="0.35">
      <c r="A1132" t="s">
        <v>1349</v>
      </c>
      <c r="B1132" t="s">
        <v>1347</v>
      </c>
      <c r="C1132" t="s">
        <v>26</v>
      </c>
      <c r="D1132" t="s">
        <v>38</v>
      </c>
      <c r="E1132" t="s">
        <v>4</v>
      </c>
      <c r="F1132" t="s">
        <v>39</v>
      </c>
      <c r="G1132">
        <v>62.32</v>
      </c>
      <c r="H1132">
        <v>9</v>
      </c>
      <c r="I1132">
        <v>5.28</v>
      </c>
    </row>
    <row r="1133" spans="1:9" x14ac:dyDescent="0.35">
      <c r="A1133" t="s">
        <v>1350</v>
      </c>
      <c r="B1133" t="s">
        <v>1347</v>
      </c>
      <c r="C1133" t="s">
        <v>16</v>
      </c>
      <c r="D1133" t="s">
        <v>17</v>
      </c>
      <c r="E1133" t="s">
        <v>3</v>
      </c>
      <c r="F1133" t="s">
        <v>49</v>
      </c>
      <c r="G1133">
        <v>389.49</v>
      </c>
      <c r="H1133">
        <v>1</v>
      </c>
      <c r="I1133">
        <v>-43.28</v>
      </c>
    </row>
    <row r="1134" spans="1:9" x14ac:dyDescent="0.35">
      <c r="A1134" t="s">
        <v>1351</v>
      </c>
      <c r="B1134" t="s">
        <v>1347</v>
      </c>
      <c r="C1134" t="s">
        <v>22</v>
      </c>
      <c r="D1134" t="s">
        <v>17</v>
      </c>
      <c r="E1134" t="s">
        <v>5</v>
      </c>
      <c r="F1134" t="s">
        <v>31</v>
      </c>
      <c r="G1134">
        <v>81.290000000000006</v>
      </c>
      <c r="H1134">
        <v>9</v>
      </c>
      <c r="I1134">
        <v>16.03</v>
      </c>
    </row>
    <row r="1135" spans="1:9" x14ac:dyDescent="0.35">
      <c r="A1135" t="s">
        <v>1352</v>
      </c>
      <c r="B1135" t="s">
        <v>1347</v>
      </c>
      <c r="C1135" t="s">
        <v>34</v>
      </c>
      <c r="D1135" t="s">
        <v>17</v>
      </c>
      <c r="E1135" t="s">
        <v>5</v>
      </c>
      <c r="F1135" t="s">
        <v>31</v>
      </c>
      <c r="G1135">
        <v>476.31</v>
      </c>
      <c r="H1135">
        <v>1</v>
      </c>
      <c r="I1135">
        <v>183.53</v>
      </c>
    </row>
    <row r="1136" spans="1:9" x14ac:dyDescent="0.35">
      <c r="A1136" t="s">
        <v>1353</v>
      </c>
      <c r="B1136" t="s">
        <v>1354</v>
      </c>
      <c r="C1136" t="s">
        <v>16</v>
      </c>
      <c r="D1136" t="s">
        <v>17</v>
      </c>
      <c r="E1136" t="s">
        <v>4</v>
      </c>
      <c r="F1136" t="s">
        <v>39</v>
      </c>
      <c r="G1136">
        <v>134.22999999999999</v>
      </c>
      <c r="H1136">
        <v>3</v>
      </c>
      <c r="I1136">
        <v>-23.1</v>
      </c>
    </row>
    <row r="1137" spans="1:9" x14ac:dyDescent="0.35">
      <c r="A1137" t="s">
        <v>1355</v>
      </c>
      <c r="B1137" t="s">
        <v>1354</v>
      </c>
      <c r="C1137" t="s">
        <v>22</v>
      </c>
      <c r="D1137" t="s">
        <v>17</v>
      </c>
      <c r="E1137" t="s">
        <v>5</v>
      </c>
      <c r="F1137" t="s">
        <v>29</v>
      </c>
      <c r="G1137">
        <v>169.77</v>
      </c>
      <c r="H1137">
        <v>1</v>
      </c>
      <c r="I1137">
        <v>49.16</v>
      </c>
    </row>
    <row r="1138" spans="1:9" x14ac:dyDescent="0.35">
      <c r="A1138" t="s">
        <v>1356</v>
      </c>
      <c r="B1138" t="s">
        <v>1354</v>
      </c>
      <c r="C1138" t="s">
        <v>26</v>
      </c>
      <c r="D1138" t="s">
        <v>23</v>
      </c>
      <c r="E1138" t="s">
        <v>4</v>
      </c>
      <c r="F1138" t="s">
        <v>20</v>
      </c>
      <c r="G1138">
        <v>137.44</v>
      </c>
      <c r="H1138">
        <v>3</v>
      </c>
      <c r="I1138">
        <v>21.09</v>
      </c>
    </row>
    <row r="1139" spans="1:9" x14ac:dyDescent="0.35">
      <c r="A1139" t="s">
        <v>1357</v>
      </c>
      <c r="B1139" t="s">
        <v>1354</v>
      </c>
      <c r="C1139" t="s">
        <v>22</v>
      </c>
      <c r="D1139" t="s">
        <v>17</v>
      </c>
      <c r="E1139" t="s">
        <v>3</v>
      </c>
      <c r="F1139" t="s">
        <v>18</v>
      </c>
      <c r="G1139">
        <v>40.78</v>
      </c>
      <c r="H1139">
        <v>2</v>
      </c>
      <c r="I1139">
        <v>-8.89</v>
      </c>
    </row>
    <row r="1140" spans="1:9" x14ac:dyDescent="0.35">
      <c r="A1140" t="s">
        <v>1358</v>
      </c>
      <c r="B1140" t="s">
        <v>1354</v>
      </c>
      <c r="C1140" t="s">
        <v>26</v>
      </c>
      <c r="D1140" t="s">
        <v>17</v>
      </c>
      <c r="E1140" t="s">
        <v>3</v>
      </c>
      <c r="F1140" t="s">
        <v>27</v>
      </c>
      <c r="G1140">
        <v>90.7</v>
      </c>
      <c r="H1140">
        <v>2</v>
      </c>
      <c r="I1140">
        <v>-1.73</v>
      </c>
    </row>
    <row r="1141" spans="1:9" x14ac:dyDescent="0.35">
      <c r="A1141" t="s">
        <v>1359</v>
      </c>
      <c r="B1141" t="s">
        <v>1354</v>
      </c>
      <c r="C1141" t="s">
        <v>26</v>
      </c>
      <c r="D1141" t="s">
        <v>38</v>
      </c>
      <c r="E1141" t="s">
        <v>3</v>
      </c>
      <c r="F1141" t="s">
        <v>18</v>
      </c>
      <c r="G1141">
        <v>35.659999999999997</v>
      </c>
      <c r="H1141">
        <v>9</v>
      </c>
      <c r="I1141">
        <v>-0.09</v>
      </c>
    </row>
    <row r="1142" spans="1:9" x14ac:dyDescent="0.35">
      <c r="A1142" t="s">
        <v>1360</v>
      </c>
      <c r="B1142" t="s">
        <v>1361</v>
      </c>
      <c r="C1142" t="s">
        <v>34</v>
      </c>
      <c r="D1142" t="s">
        <v>23</v>
      </c>
      <c r="E1142" t="s">
        <v>4</v>
      </c>
      <c r="F1142" t="s">
        <v>24</v>
      </c>
      <c r="G1142">
        <v>166.31</v>
      </c>
      <c r="H1142">
        <v>8</v>
      </c>
      <c r="I1142">
        <v>34.75</v>
      </c>
    </row>
    <row r="1143" spans="1:9" x14ac:dyDescent="0.35">
      <c r="A1143" t="s">
        <v>1362</v>
      </c>
      <c r="B1143" t="s">
        <v>1361</v>
      </c>
      <c r="C1143" t="s">
        <v>34</v>
      </c>
      <c r="D1143" t="s">
        <v>38</v>
      </c>
      <c r="E1143" t="s">
        <v>3</v>
      </c>
      <c r="F1143" t="s">
        <v>27</v>
      </c>
      <c r="G1143">
        <v>108.83</v>
      </c>
      <c r="H1143">
        <v>1</v>
      </c>
      <c r="I1143">
        <v>-34.299999999999997</v>
      </c>
    </row>
    <row r="1144" spans="1:9" x14ac:dyDescent="0.35">
      <c r="A1144" t="s">
        <v>1363</v>
      </c>
      <c r="B1144" t="s">
        <v>1361</v>
      </c>
      <c r="C1144" t="s">
        <v>22</v>
      </c>
      <c r="D1144" t="s">
        <v>17</v>
      </c>
      <c r="E1144" t="s">
        <v>4</v>
      </c>
      <c r="F1144" t="s">
        <v>20</v>
      </c>
      <c r="G1144">
        <v>245.75</v>
      </c>
      <c r="H1144">
        <v>4</v>
      </c>
      <c r="I1144">
        <v>70.44</v>
      </c>
    </row>
    <row r="1145" spans="1:9" x14ac:dyDescent="0.35">
      <c r="A1145" t="s">
        <v>1364</v>
      </c>
      <c r="B1145" t="s">
        <v>1361</v>
      </c>
      <c r="C1145" t="s">
        <v>34</v>
      </c>
      <c r="D1145" t="s">
        <v>17</v>
      </c>
      <c r="E1145" t="s">
        <v>3</v>
      </c>
      <c r="F1145" t="s">
        <v>18</v>
      </c>
      <c r="G1145">
        <v>57.36</v>
      </c>
      <c r="H1145">
        <v>1</v>
      </c>
      <c r="I1145">
        <v>-7.1</v>
      </c>
    </row>
    <row r="1146" spans="1:9" x14ac:dyDescent="0.35">
      <c r="A1146" t="s">
        <v>1365</v>
      </c>
      <c r="B1146" t="s">
        <v>1361</v>
      </c>
      <c r="C1146" t="s">
        <v>34</v>
      </c>
      <c r="D1146" t="s">
        <v>23</v>
      </c>
      <c r="E1146" t="s">
        <v>5</v>
      </c>
      <c r="F1146" t="s">
        <v>41</v>
      </c>
      <c r="G1146">
        <v>46.97</v>
      </c>
      <c r="H1146">
        <v>1</v>
      </c>
      <c r="I1146">
        <v>14.97</v>
      </c>
    </row>
    <row r="1147" spans="1:9" x14ac:dyDescent="0.35">
      <c r="A1147" t="s">
        <v>1366</v>
      </c>
      <c r="B1147" t="s">
        <v>1361</v>
      </c>
      <c r="C1147" t="s">
        <v>34</v>
      </c>
      <c r="D1147" t="s">
        <v>17</v>
      </c>
      <c r="E1147" t="s">
        <v>4</v>
      </c>
      <c r="F1147" t="s">
        <v>39</v>
      </c>
      <c r="G1147">
        <v>98.22</v>
      </c>
      <c r="H1147">
        <v>4</v>
      </c>
      <c r="I1147">
        <v>22.01</v>
      </c>
    </row>
    <row r="1148" spans="1:9" x14ac:dyDescent="0.35">
      <c r="A1148" t="s">
        <v>1367</v>
      </c>
      <c r="B1148" t="s">
        <v>1368</v>
      </c>
      <c r="C1148" t="s">
        <v>22</v>
      </c>
      <c r="D1148" t="s">
        <v>17</v>
      </c>
      <c r="E1148" t="s">
        <v>4</v>
      </c>
      <c r="F1148" t="s">
        <v>20</v>
      </c>
      <c r="G1148">
        <v>411.74</v>
      </c>
      <c r="H1148">
        <v>2</v>
      </c>
      <c r="I1148">
        <v>25.66</v>
      </c>
    </row>
    <row r="1149" spans="1:9" x14ac:dyDescent="0.35">
      <c r="A1149" t="s">
        <v>1369</v>
      </c>
      <c r="B1149" t="s">
        <v>1368</v>
      </c>
      <c r="C1149" t="s">
        <v>16</v>
      </c>
      <c r="D1149" t="s">
        <v>23</v>
      </c>
      <c r="E1149" t="s">
        <v>4</v>
      </c>
      <c r="F1149" t="s">
        <v>24</v>
      </c>
      <c r="G1149">
        <v>205.9</v>
      </c>
      <c r="H1149">
        <v>3</v>
      </c>
      <c r="I1149">
        <v>44.48</v>
      </c>
    </row>
    <row r="1150" spans="1:9" x14ac:dyDescent="0.35">
      <c r="A1150" t="s">
        <v>1370</v>
      </c>
      <c r="B1150" t="s">
        <v>1368</v>
      </c>
      <c r="C1150" t="s">
        <v>34</v>
      </c>
      <c r="D1150" t="s">
        <v>23</v>
      </c>
      <c r="E1150" t="s">
        <v>4</v>
      </c>
      <c r="F1150" t="s">
        <v>24</v>
      </c>
      <c r="G1150">
        <v>101.43</v>
      </c>
      <c r="H1150">
        <v>9</v>
      </c>
      <c r="I1150">
        <v>11.3</v>
      </c>
    </row>
    <row r="1151" spans="1:9" x14ac:dyDescent="0.35">
      <c r="A1151" t="s">
        <v>1371</v>
      </c>
      <c r="B1151" t="s">
        <v>1368</v>
      </c>
      <c r="C1151" t="s">
        <v>34</v>
      </c>
      <c r="D1151" t="s">
        <v>17</v>
      </c>
      <c r="E1151" t="s">
        <v>4</v>
      </c>
      <c r="F1151" t="s">
        <v>24</v>
      </c>
      <c r="G1151">
        <v>129.25</v>
      </c>
      <c r="H1151">
        <v>2</v>
      </c>
      <c r="I1151">
        <v>-7.39</v>
      </c>
    </row>
    <row r="1152" spans="1:9" x14ac:dyDescent="0.35">
      <c r="A1152" t="s">
        <v>1372</v>
      </c>
      <c r="B1152" t="s">
        <v>1368</v>
      </c>
      <c r="C1152" t="s">
        <v>22</v>
      </c>
      <c r="D1152" t="s">
        <v>17</v>
      </c>
      <c r="E1152" t="s">
        <v>4</v>
      </c>
      <c r="F1152" t="s">
        <v>24</v>
      </c>
      <c r="G1152">
        <v>33.200000000000003</v>
      </c>
      <c r="H1152">
        <v>4</v>
      </c>
      <c r="I1152">
        <v>8.86</v>
      </c>
    </row>
    <row r="1153" spans="1:9" x14ac:dyDescent="0.35">
      <c r="A1153" t="s">
        <v>1373</v>
      </c>
      <c r="B1153" t="s">
        <v>1368</v>
      </c>
      <c r="C1153" t="s">
        <v>16</v>
      </c>
      <c r="D1153" t="s">
        <v>17</v>
      </c>
      <c r="E1153" t="s">
        <v>4</v>
      </c>
      <c r="F1153" t="s">
        <v>24</v>
      </c>
      <c r="G1153">
        <v>645.77</v>
      </c>
      <c r="H1153">
        <v>1</v>
      </c>
      <c r="I1153">
        <v>46.82</v>
      </c>
    </row>
    <row r="1154" spans="1:9" x14ac:dyDescent="0.35">
      <c r="A1154" t="s">
        <v>1374</v>
      </c>
      <c r="B1154" t="s">
        <v>1375</v>
      </c>
      <c r="C1154" t="s">
        <v>34</v>
      </c>
      <c r="D1154" t="s">
        <v>17</v>
      </c>
      <c r="E1154" t="s">
        <v>4</v>
      </c>
      <c r="F1154" t="s">
        <v>39</v>
      </c>
      <c r="G1154">
        <v>184.68</v>
      </c>
      <c r="H1154">
        <v>2</v>
      </c>
      <c r="I1154">
        <v>11.92</v>
      </c>
    </row>
    <row r="1155" spans="1:9" x14ac:dyDescent="0.35">
      <c r="A1155" t="s">
        <v>1376</v>
      </c>
      <c r="B1155" t="s">
        <v>1375</v>
      </c>
      <c r="C1155" t="s">
        <v>26</v>
      </c>
      <c r="D1155" t="s">
        <v>17</v>
      </c>
      <c r="E1155" t="s">
        <v>4</v>
      </c>
      <c r="F1155" t="s">
        <v>20</v>
      </c>
      <c r="G1155">
        <v>70.41</v>
      </c>
      <c r="H1155">
        <v>5</v>
      </c>
      <c r="I1155">
        <v>7.72</v>
      </c>
    </row>
    <row r="1156" spans="1:9" x14ac:dyDescent="0.35">
      <c r="A1156" t="s">
        <v>1377</v>
      </c>
      <c r="B1156" t="s">
        <v>1375</v>
      </c>
      <c r="C1156" t="s">
        <v>22</v>
      </c>
      <c r="D1156" t="s">
        <v>17</v>
      </c>
      <c r="E1156" t="s">
        <v>4</v>
      </c>
      <c r="F1156" t="s">
        <v>39</v>
      </c>
      <c r="G1156">
        <v>152.21</v>
      </c>
      <c r="H1156">
        <v>1</v>
      </c>
      <c r="I1156">
        <v>26.98</v>
      </c>
    </row>
    <row r="1157" spans="1:9" x14ac:dyDescent="0.35">
      <c r="A1157" t="s">
        <v>1378</v>
      </c>
      <c r="B1157" t="s">
        <v>1375</v>
      </c>
      <c r="C1157" t="s">
        <v>34</v>
      </c>
      <c r="D1157" t="s">
        <v>17</v>
      </c>
      <c r="E1157" t="s">
        <v>4</v>
      </c>
      <c r="F1157" t="s">
        <v>24</v>
      </c>
      <c r="G1157">
        <v>37.39</v>
      </c>
      <c r="H1157">
        <v>7</v>
      </c>
      <c r="I1157">
        <v>5.39</v>
      </c>
    </row>
    <row r="1158" spans="1:9" x14ac:dyDescent="0.35">
      <c r="A1158" t="s">
        <v>1379</v>
      </c>
      <c r="B1158" t="s">
        <v>1375</v>
      </c>
      <c r="C1158" t="s">
        <v>34</v>
      </c>
      <c r="D1158" t="s">
        <v>38</v>
      </c>
      <c r="E1158" t="s">
        <v>5</v>
      </c>
      <c r="F1158" t="s">
        <v>31</v>
      </c>
      <c r="G1158">
        <v>526.49</v>
      </c>
      <c r="H1158">
        <v>4</v>
      </c>
      <c r="I1158">
        <v>160.47999999999999</v>
      </c>
    </row>
    <row r="1159" spans="1:9" x14ac:dyDescent="0.35">
      <c r="A1159" t="s">
        <v>1380</v>
      </c>
      <c r="B1159" t="s">
        <v>1375</v>
      </c>
      <c r="C1159" t="s">
        <v>26</v>
      </c>
      <c r="D1159" t="s">
        <v>23</v>
      </c>
      <c r="E1159" t="s">
        <v>4</v>
      </c>
      <c r="F1159" t="s">
        <v>24</v>
      </c>
      <c r="G1159">
        <v>48.82</v>
      </c>
      <c r="H1159">
        <v>6</v>
      </c>
      <c r="I1159">
        <v>0.78</v>
      </c>
    </row>
    <row r="1160" spans="1:9" x14ac:dyDescent="0.35">
      <c r="A1160" t="s">
        <v>1381</v>
      </c>
      <c r="B1160" t="s">
        <v>1382</v>
      </c>
      <c r="C1160" t="s">
        <v>26</v>
      </c>
      <c r="D1160" t="s">
        <v>23</v>
      </c>
      <c r="E1160" t="s">
        <v>4</v>
      </c>
      <c r="F1160" t="s">
        <v>24</v>
      </c>
      <c r="G1160">
        <v>176.63</v>
      </c>
      <c r="H1160">
        <v>8</v>
      </c>
      <c r="I1160">
        <v>13.38</v>
      </c>
    </row>
    <row r="1161" spans="1:9" x14ac:dyDescent="0.35">
      <c r="A1161" t="s">
        <v>1383</v>
      </c>
      <c r="B1161" t="s">
        <v>1382</v>
      </c>
      <c r="C1161" t="s">
        <v>22</v>
      </c>
      <c r="D1161" t="s">
        <v>17</v>
      </c>
      <c r="E1161" t="s">
        <v>5</v>
      </c>
      <c r="F1161" t="s">
        <v>29</v>
      </c>
      <c r="G1161">
        <v>62.25</v>
      </c>
      <c r="H1161">
        <v>6</v>
      </c>
      <c r="I1161">
        <v>14.84</v>
      </c>
    </row>
    <row r="1162" spans="1:9" x14ac:dyDescent="0.35">
      <c r="A1162" t="s">
        <v>1384</v>
      </c>
      <c r="B1162" t="s">
        <v>1382</v>
      </c>
      <c r="C1162" t="s">
        <v>22</v>
      </c>
      <c r="D1162" t="s">
        <v>17</v>
      </c>
      <c r="E1162" t="s">
        <v>4</v>
      </c>
      <c r="F1162" t="s">
        <v>24</v>
      </c>
      <c r="G1162">
        <v>209.64</v>
      </c>
      <c r="H1162">
        <v>2</v>
      </c>
      <c r="I1162">
        <v>71.23</v>
      </c>
    </row>
    <row r="1163" spans="1:9" x14ac:dyDescent="0.35">
      <c r="A1163" t="s">
        <v>1385</v>
      </c>
      <c r="B1163" t="s">
        <v>1382</v>
      </c>
      <c r="C1163" t="s">
        <v>26</v>
      </c>
      <c r="D1163" t="s">
        <v>17</v>
      </c>
      <c r="E1163" t="s">
        <v>5</v>
      </c>
      <c r="F1163" t="s">
        <v>29</v>
      </c>
      <c r="G1163">
        <v>244.97</v>
      </c>
      <c r="H1163">
        <v>1</v>
      </c>
      <c r="I1163">
        <v>58.45</v>
      </c>
    </row>
    <row r="1164" spans="1:9" x14ac:dyDescent="0.35">
      <c r="A1164" t="s">
        <v>1386</v>
      </c>
      <c r="B1164" t="s">
        <v>1382</v>
      </c>
      <c r="C1164" t="s">
        <v>22</v>
      </c>
      <c r="D1164" t="s">
        <v>17</v>
      </c>
      <c r="E1164" t="s">
        <v>3</v>
      </c>
      <c r="F1164" t="s">
        <v>27</v>
      </c>
      <c r="G1164">
        <v>187.86</v>
      </c>
      <c r="H1164">
        <v>8</v>
      </c>
      <c r="I1164">
        <v>10.99</v>
      </c>
    </row>
    <row r="1165" spans="1:9" x14ac:dyDescent="0.35">
      <c r="A1165" t="s">
        <v>1387</v>
      </c>
      <c r="B1165" t="s">
        <v>1382</v>
      </c>
      <c r="C1165" t="s">
        <v>26</v>
      </c>
      <c r="D1165" t="s">
        <v>17</v>
      </c>
      <c r="E1165" t="s">
        <v>4</v>
      </c>
      <c r="F1165" t="s">
        <v>20</v>
      </c>
      <c r="G1165">
        <v>162.97999999999999</v>
      </c>
      <c r="H1165">
        <v>8</v>
      </c>
      <c r="I1165">
        <v>25.08</v>
      </c>
    </row>
    <row r="1166" spans="1:9" x14ac:dyDescent="0.35">
      <c r="A1166" t="s">
        <v>1388</v>
      </c>
      <c r="B1166" t="s">
        <v>1389</v>
      </c>
      <c r="C1166" t="s">
        <v>34</v>
      </c>
      <c r="D1166" t="s">
        <v>23</v>
      </c>
      <c r="E1166" t="s">
        <v>5</v>
      </c>
      <c r="F1166" t="s">
        <v>41</v>
      </c>
      <c r="G1166">
        <v>354.5</v>
      </c>
      <c r="H1166">
        <v>9</v>
      </c>
      <c r="I1166">
        <v>71.48</v>
      </c>
    </row>
    <row r="1167" spans="1:9" x14ac:dyDescent="0.35">
      <c r="A1167" t="s">
        <v>1390</v>
      </c>
      <c r="B1167" t="s">
        <v>1389</v>
      </c>
      <c r="C1167" t="s">
        <v>26</v>
      </c>
      <c r="D1167" t="s">
        <v>23</v>
      </c>
      <c r="E1167" t="s">
        <v>4</v>
      </c>
      <c r="F1167" t="s">
        <v>24</v>
      </c>
      <c r="G1167">
        <v>32.28</v>
      </c>
      <c r="H1167">
        <v>6</v>
      </c>
      <c r="I1167">
        <v>4.05</v>
      </c>
    </row>
    <row r="1168" spans="1:9" x14ac:dyDescent="0.35">
      <c r="A1168" t="s">
        <v>1391</v>
      </c>
      <c r="B1168" t="s">
        <v>1389</v>
      </c>
      <c r="C1168" t="s">
        <v>26</v>
      </c>
      <c r="D1168" t="s">
        <v>23</v>
      </c>
      <c r="E1168" t="s">
        <v>4</v>
      </c>
      <c r="F1168" t="s">
        <v>20</v>
      </c>
      <c r="G1168">
        <v>80.28</v>
      </c>
      <c r="H1168">
        <v>1</v>
      </c>
      <c r="I1168">
        <v>10.69</v>
      </c>
    </row>
    <row r="1169" spans="1:9" x14ac:dyDescent="0.35">
      <c r="A1169" t="s">
        <v>1392</v>
      </c>
      <c r="B1169" t="s">
        <v>1389</v>
      </c>
      <c r="C1169" t="s">
        <v>16</v>
      </c>
      <c r="D1169" t="s">
        <v>17</v>
      </c>
      <c r="E1169" t="s">
        <v>3</v>
      </c>
      <c r="F1169" t="s">
        <v>49</v>
      </c>
      <c r="G1169">
        <v>62.81</v>
      </c>
      <c r="H1169">
        <v>9</v>
      </c>
      <c r="I1169">
        <v>0.65</v>
      </c>
    </row>
    <row r="1170" spans="1:9" x14ac:dyDescent="0.35">
      <c r="A1170" t="s">
        <v>1393</v>
      </c>
      <c r="B1170" t="s">
        <v>1389</v>
      </c>
      <c r="C1170" t="s">
        <v>26</v>
      </c>
      <c r="D1170" t="s">
        <v>38</v>
      </c>
      <c r="E1170" t="s">
        <v>5</v>
      </c>
      <c r="F1170" t="s">
        <v>31</v>
      </c>
      <c r="G1170">
        <v>683.6</v>
      </c>
      <c r="H1170">
        <v>3</v>
      </c>
      <c r="I1170">
        <v>264.87</v>
      </c>
    </row>
    <row r="1171" spans="1:9" x14ac:dyDescent="0.35">
      <c r="A1171" t="s">
        <v>1394</v>
      </c>
      <c r="B1171" t="s">
        <v>1389</v>
      </c>
      <c r="C1171" t="s">
        <v>26</v>
      </c>
      <c r="D1171" t="s">
        <v>17</v>
      </c>
      <c r="E1171" t="s">
        <v>5</v>
      </c>
      <c r="F1171" t="s">
        <v>31</v>
      </c>
      <c r="G1171">
        <v>93.99</v>
      </c>
      <c r="H1171">
        <v>6</v>
      </c>
      <c r="I1171">
        <v>26.88</v>
      </c>
    </row>
    <row r="1172" spans="1:9" x14ac:dyDescent="0.35">
      <c r="A1172" t="s">
        <v>1395</v>
      </c>
      <c r="B1172" t="s">
        <v>1396</v>
      </c>
      <c r="C1172" t="s">
        <v>16</v>
      </c>
      <c r="D1172" t="s">
        <v>17</v>
      </c>
      <c r="E1172" t="s">
        <v>4</v>
      </c>
      <c r="F1172" t="s">
        <v>24</v>
      </c>
      <c r="G1172">
        <v>217.86</v>
      </c>
      <c r="H1172">
        <v>9</v>
      </c>
      <c r="I1172">
        <v>58.54</v>
      </c>
    </row>
    <row r="1173" spans="1:9" x14ac:dyDescent="0.35">
      <c r="A1173" t="s">
        <v>1397</v>
      </c>
      <c r="B1173" t="s">
        <v>1396</v>
      </c>
      <c r="C1173" t="s">
        <v>22</v>
      </c>
      <c r="D1173" t="s">
        <v>17</v>
      </c>
      <c r="E1173" t="s">
        <v>4</v>
      </c>
      <c r="F1173" t="s">
        <v>20</v>
      </c>
      <c r="G1173">
        <v>193.15</v>
      </c>
      <c r="H1173">
        <v>3</v>
      </c>
      <c r="I1173">
        <v>10.34</v>
      </c>
    </row>
    <row r="1174" spans="1:9" x14ac:dyDescent="0.35">
      <c r="A1174" t="s">
        <v>1398</v>
      </c>
      <c r="B1174" t="s">
        <v>1396</v>
      </c>
      <c r="C1174" t="s">
        <v>16</v>
      </c>
      <c r="D1174" t="s">
        <v>23</v>
      </c>
      <c r="E1174" t="s">
        <v>4</v>
      </c>
      <c r="F1174" t="s">
        <v>20</v>
      </c>
      <c r="G1174">
        <v>55.75</v>
      </c>
      <c r="H1174">
        <v>5</v>
      </c>
      <c r="I1174">
        <v>6.05</v>
      </c>
    </row>
    <row r="1175" spans="1:9" x14ac:dyDescent="0.35">
      <c r="A1175" t="s">
        <v>1399</v>
      </c>
      <c r="B1175" t="s">
        <v>1396</v>
      </c>
      <c r="C1175" t="s">
        <v>34</v>
      </c>
      <c r="D1175" t="s">
        <v>38</v>
      </c>
      <c r="E1175" t="s">
        <v>5</v>
      </c>
      <c r="F1175" t="s">
        <v>41</v>
      </c>
      <c r="G1175">
        <v>60.97</v>
      </c>
      <c r="H1175">
        <v>5</v>
      </c>
      <c r="I1175">
        <v>10.83</v>
      </c>
    </row>
    <row r="1176" spans="1:9" x14ac:dyDescent="0.35">
      <c r="A1176" t="s">
        <v>1400</v>
      </c>
      <c r="B1176" t="s">
        <v>1396</v>
      </c>
      <c r="C1176" t="s">
        <v>16</v>
      </c>
      <c r="D1176" t="s">
        <v>17</v>
      </c>
      <c r="E1176" t="s">
        <v>4</v>
      </c>
      <c r="F1176" t="s">
        <v>20</v>
      </c>
      <c r="G1176">
        <v>69.540000000000006</v>
      </c>
      <c r="H1176">
        <v>7</v>
      </c>
      <c r="I1176">
        <v>12.62</v>
      </c>
    </row>
    <row r="1177" spans="1:9" x14ac:dyDescent="0.35">
      <c r="A1177" t="s">
        <v>1401</v>
      </c>
      <c r="B1177" t="s">
        <v>1396</v>
      </c>
      <c r="C1177" t="s">
        <v>34</v>
      </c>
      <c r="D1177" t="s">
        <v>38</v>
      </c>
      <c r="E1177" t="s">
        <v>3</v>
      </c>
      <c r="F1177" t="s">
        <v>18</v>
      </c>
      <c r="G1177">
        <v>99.43</v>
      </c>
      <c r="H1177">
        <v>4</v>
      </c>
      <c r="I1177">
        <v>-8.5399999999999991</v>
      </c>
    </row>
    <row r="1178" spans="1:9" x14ac:dyDescent="0.35">
      <c r="A1178" t="s">
        <v>1402</v>
      </c>
      <c r="B1178" t="s">
        <v>1403</v>
      </c>
      <c r="C1178" t="s">
        <v>22</v>
      </c>
      <c r="D1178" t="s">
        <v>38</v>
      </c>
      <c r="E1178" t="s">
        <v>4</v>
      </c>
      <c r="F1178" t="s">
        <v>24</v>
      </c>
      <c r="G1178">
        <v>60.05</v>
      </c>
      <c r="H1178">
        <v>4</v>
      </c>
      <c r="I1178">
        <v>13.39</v>
      </c>
    </row>
    <row r="1179" spans="1:9" x14ac:dyDescent="0.35">
      <c r="A1179" t="s">
        <v>1404</v>
      </c>
      <c r="B1179" t="s">
        <v>1403</v>
      </c>
      <c r="C1179" t="s">
        <v>16</v>
      </c>
      <c r="D1179" t="s">
        <v>17</v>
      </c>
      <c r="E1179" t="s">
        <v>5</v>
      </c>
      <c r="F1179" t="s">
        <v>31</v>
      </c>
      <c r="G1179">
        <v>22.98</v>
      </c>
      <c r="H1179">
        <v>7</v>
      </c>
      <c r="I1179">
        <v>3.61</v>
      </c>
    </row>
    <row r="1180" spans="1:9" x14ac:dyDescent="0.35">
      <c r="A1180" t="s">
        <v>1405</v>
      </c>
      <c r="B1180" t="s">
        <v>1403</v>
      </c>
      <c r="C1180" t="s">
        <v>16</v>
      </c>
      <c r="D1180" t="s">
        <v>17</v>
      </c>
      <c r="E1180" t="s">
        <v>4</v>
      </c>
      <c r="F1180" t="s">
        <v>24</v>
      </c>
      <c r="G1180">
        <v>337.28</v>
      </c>
      <c r="H1180">
        <v>9</v>
      </c>
      <c r="I1180">
        <v>52.04</v>
      </c>
    </row>
    <row r="1181" spans="1:9" x14ac:dyDescent="0.35">
      <c r="A1181" t="s">
        <v>1406</v>
      </c>
      <c r="B1181" t="s">
        <v>1403</v>
      </c>
      <c r="C1181" t="s">
        <v>22</v>
      </c>
      <c r="D1181" t="s">
        <v>17</v>
      </c>
      <c r="E1181" t="s">
        <v>3</v>
      </c>
      <c r="F1181" t="s">
        <v>27</v>
      </c>
      <c r="G1181">
        <v>525.5</v>
      </c>
      <c r="H1181">
        <v>4</v>
      </c>
      <c r="I1181">
        <v>9.82</v>
      </c>
    </row>
    <row r="1182" spans="1:9" x14ac:dyDescent="0.35">
      <c r="A1182" t="s">
        <v>1407</v>
      </c>
      <c r="B1182" t="s">
        <v>1403</v>
      </c>
      <c r="C1182" t="s">
        <v>34</v>
      </c>
      <c r="D1182" t="s">
        <v>38</v>
      </c>
      <c r="E1182" t="s">
        <v>4</v>
      </c>
      <c r="F1182" t="s">
        <v>24</v>
      </c>
      <c r="G1182">
        <v>82.68</v>
      </c>
      <c r="H1182">
        <v>4</v>
      </c>
      <c r="I1182">
        <v>-4.67</v>
      </c>
    </row>
    <row r="1183" spans="1:9" x14ac:dyDescent="0.35">
      <c r="A1183" t="s">
        <v>1408</v>
      </c>
      <c r="B1183" t="s">
        <v>1403</v>
      </c>
      <c r="C1183" t="s">
        <v>16</v>
      </c>
      <c r="D1183" t="s">
        <v>17</v>
      </c>
      <c r="E1183" t="s">
        <v>3</v>
      </c>
      <c r="F1183" t="s">
        <v>27</v>
      </c>
      <c r="G1183">
        <v>81.99</v>
      </c>
      <c r="H1183">
        <v>6</v>
      </c>
      <c r="I1183">
        <v>13.3</v>
      </c>
    </row>
    <row r="1184" spans="1:9" x14ac:dyDescent="0.35">
      <c r="A1184" t="s">
        <v>1409</v>
      </c>
      <c r="B1184" t="s">
        <v>1410</v>
      </c>
      <c r="C1184" t="s">
        <v>34</v>
      </c>
      <c r="D1184" t="s">
        <v>23</v>
      </c>
      <c r="E1184" t="s">
        <v>4</v>
      </c>
      <c r="F1184" t="s">
        <v>24</v>
      </c>
      <c r="G1184">
        <v>21.07</v>
      </c>
      <c r="H1184">
        <v>6</v>
      </c>
      <c r="I1184">
        <v>2.56</v>
      </c>
    </row>
    <row r="1185" spans="1:9" x14ac:dyDescent="0.35">
      <c r="A1185" t="s">
        <v>1411</v>
      </c>
      <c r="B1185" t="s">
        <v>1410</v>
      </c>
      <c r="C1185" t="s">
        <v>16</v>
      </c>
      <c r="D1185" t="s">
        <v>17</v>
      </c>
      <c r="E1185" t="s">
        <v>4</v>
      </c>
      <c r="F1185" t="s">
        <v>39</v>
      </c>
      <c r="G1185">
        <v>191.03</v>
      </c>
      <c r="H1185">
        <v>7</v>
      </c>
      <c r="I1185">
        <v>-10.029999999999999</v>
      </c>
    </row>
    <row r="1186" spans="1:9" x14ac:dyDescent="0.35">
      <c r="A1186" t="s">
        <v>1412</v>
      </c>
      <c r="B1186" t="s">
        <v>1410</v>
      </c>
      <c r="C1186" t="s">
        <v>26</v>
      </c>
      <c r="D1186" t="s">
        <v>23</v>
      </c>
      <c r="E1186" t="s">
        <v>5</v>
      </c>
      <c r="F1186" t="s">
        <v>41</v>
      </c>
      <c r="G1186">
        <v>281.82</v>
      </c>
      <c r="H1186">
        <v>1</v>
      </c>
      <c r="I1186">
        <v>74.91</v>
      </c>
    </row>
    <row r="1187" spans="1:9" x14ac:dyDescent="0.35">
      <c r="A1187" t="s">
        <v>1413</v>
      </c>
      <c r="B1187" t="s">
        <v>1410</v>
      </c>
      <c r="C1187" t="s">
        <v>16</v>
      </c>
      <c r="D1187" t="s">
        <v>17</v>
      </c>
      <c r="E1187" t="s">
        <v>4</v>
      </c>
      <c r="F1187" t="s">
        <v>39</v>
      </c>
      <c r="G1187">
        <v>43.78</v>
      </c>
      <c r="H1187">
        <v>3</v>
      </c>
      <c r="I1187">
        <v>6.71</v>
      </c>
    </row>
    <row r="1188" spans="1:9" x14ac:dyDescent="0.35">
      <c r="A1188" t="s">
        <v>1414</v>
      </c>
      <c r="B1188" t="s">
        <v>1410</v>
      </c>
      <c r="C1188" t="s">
        <v>22</v>
      </c>
      <c r="D1188" t="s">
        <v>23</v>
      </c>
      <c r="E1188" t="s">
        <v>4</v>
      </c>
      <c r="F1188" t="s">
        <v>39</v>
      </c>
      <c r="G1188">
        <v>46.09</v>
      </c>
      <c r="H1188">
        <v>9</v>
      </c>
      <c r="I1188">
        <v>6.54</v>
      </c>
    </row>
    <row r="1189" spans="1:9" x14ac:dyDescent="0.35">
      <c r="A1189" t="s">
        <v>1415</v>
      </c>
      <c r="B1189" t="s">
        <v>1410</v>
      </c>
      <c r="C1189" t="s">
        <v>22</v>
      </c>
      <c r="D1189" t="s">
        <v>38</v>
      </c>
      <c r="E1189" t="s">
        <v>5</v>
      </c>
      <c r="F1189" t="s">
        <v>31</v>
      </c>
      <c r="G1189">
        <v>254.16</v>
      </c>
      <c r="H1189">
        <v>6</v>
      </c>
      <c r="I1189">
        <v>88.73</v>
      </c>
    </row>
    <row r="1190" spans="1:9" x14ac:dyDescent="0.35">
      <c r="A1190" t="s">
        <v>1416</v>
      </c>
      <c r="B1190" t="s">
        <v>1417</v>
      </c>
      <c r="C1190" t="s">
        <v>34</v>
      </c>
      <c r="D1190" t="s">
        <v>38</v>
      </c>
      <c r="E1190" t="s">
        <v>3</v>
      </c>
      <c r="F1190" t="s">
        <v>49</v>
      </c>
      <c r="G1190">
        <v>163.68</v>
      </c>
      <c r="H1190">
        <v>6</v>
      </c>
      <c r="I1190">
        <v>4.05</v>
      </c>
    </row>
    <row r="1191" spans="1:9" x14ac:dyDescent="0.35">
      <c r="A1191" t="s">
        <v>1418</v>
      </c>
      <c r="B1191" t="s">
        <v>1417</v>
      </c>
      <c r="C1191" t="s">
        <v>16</v>
      </c>
      <c r="D1191" t="s">
        <v>38</v>
      </c>
      <c r="E1191" t="s">
        <v>4</v>
      </c>
      <c r="F1191" t="s">
        <v>24</v>
      </c>
      <c r="G1191">
        <v>26.88</v>
      </c>
      <c r="H1191">
        <v>5</v>
      </c>
      <c r="I1191">
        <v>4.83</v>
      </c>
    </row>
    <row r="1192" spans="1:9" x14ac:dyDescent="0.35">
      <c r="A1192" t="s">
        <v>1419</v>
      </c>
      <c r="B1192" t="s">
        <v>1417</v>
      </c>
      <c r="C1192" t="s">
        <v>34</v>
      </c>
      <c r="D1192" t="s">
        <v>17</v>
      </c>
      <c r="E1192" t="s">
        <v>5</v>
      </c>
      <c r="F1192" t="s">
        <v>41</v>
      </c>
      <c r="G1192">
        <v>166.15</v>
      </c>
      <c r="H1192">
        <v>3</v>
      </c>
      <c r="I1192">
        <v>49.02</v>
      </c>
    </row>
    <row r="1193" spans="1:9" x14ac:dyDescent="0.35">
      <c r="A1193" t="s">
        <v>1420</v>
      </c>
      <c r="B1193" t="s">
        <v>1417</v>
      </c>
      <c r="C1193" t="s">
        <v>34</v>
      </c>
      <c r="D1193" t="s">
        <v>23</v>
      </c>
      <c r="E1193" t="s">
        <v>3</v>
      </c>
      <c r="F1193" t="s">
        <v>18</v>
      </c>
      <c r="G1193">
        <v>75.42</v>
      </c>
      <c r="H1193">
        <v>5</v>
      </c>
      <c r="I1193">
        <v>-4.5599999999999996</v>
      </c>
    </row>
    <row r="1194" spans="1:9" x14ac:dyDescent="0.35">
      <c r="A1194" t="s">
        <v>1421</v>
      </c>
      <c r="B1194" t="s">
        <v>1417</v>
      </c>
      <c r="C1194" t="s">
        <v>26</v>
      </c>
      <c r="D1194" t="s">
        <v>17</v>
      </c>
      <c r="E1194" t="s">
        <v>3</v>
      </c>
      <c r="F1194" t="s">
        <v>49</v>
      </c>
      <c r="G1194">
        <v>89</v>
      </c>
      <c r="H1194">
        <v>1</v>
      </c>
      <c r="I1194">
        <v>11.35</v>
      </c>
    </row>
    <row r="1195" spans="1:9" x14ac:dyDescent="0.35">
      <c r="A1195" t="s">
        <v>1422</v>
      </c>
      <c r="B1195" t="s">
        <v>1417</v>
      </c>
      <c r="C1195" t="s">
        <v>26</v>
      </c>
      <c r="D1195" t="s">
        <v>17</v>
      </c>
      <c r="E1195" t="s">
        <v>4</v>
      </c>
      <c r="F1195" t="s">
        <v>39</v>
      </c>
      <c r="G1195">
        <v>240.28</v>
      </c>
      <c r="H1195">
        <v>3</v>
      </c>
      <c r="I1195">
        <v>0.5</v>
      </c>
    </row>
    <row r="1196" spans="1:9" x14ac:dyDescent="0.35">
      <c r="A1196" t="s">
        <v>1423</v>
      </c>
      <c r="B1196" t="s">
        <v>1424</v>
      </c>
      <c r="C1196" t="s">
        <v>22</v>
      </c>
      <c r="D1196" t="s">
        <v>23</v>
      </c>
      <c r="E1196" t="s">
        <v>5</v>
      </c>
      <c r="F1196" t="s">
        <v>31</v>
      </c>
      <c r="G1196">
        <v>269.85000000000002</v>
      </c>
      <c r="H1196">
        <v>4</v>
      </c>
      <c r="I1196">
        <v>71.23</v>
      </c>
    </row>
    <row r="1197" spans="1:9" x14ac:dyDescent="0.35">
      <c r="A1197" t="s">
        <v>1425</v>
      </c>
      <c r="B1197" t="s">
        <v>1424</v>
      </c>
      <c r="C1197" t="s">
        <v>34</v>
      </c>
      <c r="D1197" t="s">
        <v>17</v>
      </c>
      <c r="E1197" t="s">
        <v>4</v>
      </c>
      <c r="F1197" t="s">
        <v>39</v>
      </c>
      <c r="G1197">
        <v>96.71</v>
      </c>
      <c r="H1197">
        <v>5</v>
      </c>
      <c r="I1197">
        <v>15.14</v>
      </c>
    </row>
    <row r="1198" spans="1:9" x14ac:dyDescent="0.35">
      <c r="A1198" t="s">
        <v>1426</v>
      </c>
      <c r="B1198" t="s">
        <v>1424</v>
      </c>
      <c r="C1198" t="s">
        <v>22</v>
      </c>
      <c r="D1198" t="s">
        <v>23</v>
      </c>
      <c r="E1198" t="s">
        <v>4</v>
      </c>
      <c r="F1198" t="s">
        <v>20</v>
      </c>
      <c r="G1198">
        <v>461.05</v>
      </c>
      <c r="H1198">
        <v>9</v>
      </c>
      <c r="I1198">
        <v>106.65</v>
      </c>
    </row>
    <row r="1199" spans="1:9" x14ac:dyDescent="0.35">
      <c r="A1199" t="s">
        <v>1427</v>
      </c>
      <c r="B1199" t="s">
        <v>1424</v>
      </c>
      <c r="C1199" t="s">
        <v>16</v>
      </c>
      <c r="D1199" t="s">
        <v>38</v>
      </c>
      <c r="E1199" t="s">
        <v>4</v>
      </c>
      <c r="F1199" t="s">
        <v>24</v>
      </c>
      <c r="G1199">
        <v>98.25</v>
      </c>
      <c r="H1199">
        <v>4</v>
      </c>
      <c r="I1199">
        <v>6.45</v>
      </c>
    </row>
    <row r="1200" spans="1:9" x14ac:dyDescent="0.35">
      <c r="A1200" t="s">
        <v>1428</v>
      </c>
      <c r="B1200" t="s">
        <v>1424</v>
      </c>
      <c r="C1200" t="s">
        <v>34</v>
      </c>
      <c r="D1200" t="s">
        <v>17</v>
      </c>
      <c r="E1200" t="s">
        <v>4</v>
      </c>
      <c r="F1200" t="s">
        <v>24</v>
      </c>
      <c r="G1200">
        <v>241.65</v>
      </c>
      <c r="H1200">
        <v>3</v>
      </c>
      <c r="I1200">
        <v>-5.89</v>
      </c>
    </row>
    <row r="1201" spans="1:9" x14ac:dyDescent="0.35">
      <c r="A1201" t="s">
        <v>1429</v>
      </c>
      <c r="B1201" t="s">
        <v>1424</v>
      </c>
      <c r="C1201" t="s">
        <v>34</v>
      </c>
      <c r="D1201" t="s">
        <v>23</v>
      </c>
      <c r="E1201" t="s">
        <v>5</v>
      </c>
      <c r="F1201" t="s">
        <v>41</v>
      </c>
      <c r="G1201">
        <v>119.21</v>
      </c>
      <c r="H1201">
        <v>1</v>
      </c>
      <c r="I1201">
        <v>31.67</v>
      </c>
    </row>
    <row r="1202" spans="1:9" x14ac:dyDescent="0.35">
      <c r="A1202" t="s">
        <v>1430</v>
      </c>
      <c r="B1202" t="s">
        <v>1431</v>
      </c>
      <c r="C1202" t="s">
        <v>16</v>
      </c>
      <c r="D1202" t="s">
        <v>17</v>
      </c>
      <c r="E1202" t="s">
        <v>4</v>
      </c>
      <c r="F1202" t="s">
        <v>24</v>
      </c>
      <c r="G1202">
        <v>361.73</v>
      </c>
      <c r="H1202">
        <v>6</v>
      </c>
      <c r="I1202">
        <v>64.430000000000007</v>
      </c>
    </row>
    <row r="1203" spans="1:9" x14ac:dyDescent="0.35">
      <c r="A1203" t="s">
        <v>1432</v>
      </c>
      <c r="B1203" t="s">
        <v>1431</v>
      </c>
      <c r="C1203" t="s">
        <v>16</v>
      </c>
      <c r="D1203" t="s">
        <v>17</v>
      </c>
      <c r="E1203" t="s">
        <v>5</v>
      </c>
      <c r="F1203" t="s">
        <v>31</v>
      </c>
      <c r="G1203">
        <v>377.51</v>
      </c>
      <c r="H1203">
        <v>7</v>
      </c>
      <c r="I1203">
        <v>150.61000000000001</v>
      </c>
    </row>
    <row r="1204" spans="1:9" x14ac:dyDescent="0.35">
      <c r="A1204" t="s">
        <v>1433</v>
      </c>
      <c r="B1204" t="s">
        <v>1431</v>
      </c>
      <c r="C1204" t="s">
        <v>22</v>
      </c>
      <c r="D1204" t="s">
        <v>17</v>
      </c>
      <c r="E1204" t="s">
        <v>5</v>
      </c>
      <c r="F1204" t="s">
        <v>31</v>
      </c>
      <c r="G1204">
        <v>33.72</v>
      </c>
      <c r="H1204">
        <v>8</v>
      </c>
      <c r="I1204">
        <v>4.1500000000000004</v>
      </c>
    </row>
    <row r="1205" spans="1:9" x14ac:dyDescent="0.35">
      <c r="A1205" t="s">
        <v>1434</v>
      </c>
      <c r="B1205" t="s">
        <v>1431</v>
      </c>
      <c r="C1205" t="s">
        <v>22</v>
      </c>
      <c r="D1205" t="s">
        <v>38</v>
      </c>
      <c r="E1205" t="s">
        <v>3</v>
      </c>
      <c r="F1205" t="s">
        <v>27</v>
      </c>
      <c r="G1205">
        <v>433.49</v>
      </c>
      <c r="H1205">
        <v>1</v>
      </c>
      <c r="I1205">
        <v>28.38</v>
      </c>
    </row>
    <row r="1206" spans="1:9" x14ac:dyDescent="0.35">
      <c r="A1206" t="s">
        <v>1435</v>
      </c>
      <c r="B1206" t="s">
        <v>1431</v>
      </c>
      <c r="C1206" t="s">
        <v>16</v>
      </c>
      <c r="D1206" t="s">
        <v>38</v>
      </c>
      <c r="E1206" t="s">
        <v>3</v>
      </c>
      <c r="F1206" t="s">
        <v>27</v>
      </c>
      <c r="G1206">
        <v>281.89999999999998</v>
      </c>
      <c r="H1206">
        <v>4</v>
      </c>
      <c r="I1206">
        <v>52.64</v>
      </c>
    </row>
    <row r="1207" spans="1:9" x14ac:dyDescent="0.35">
      <c r="A1207" t="s">
        <v>1436</v>
      </c>
      <c r="B1207" t="s">
        <v>1431</v>
      </c>
      <c r="C1207" t="s">
        <v>22</v>
      </c>
      <c r="D1207" t="s">
        <v>38</v>
      </c>
      <c r="E1207" t="s">
        <v>4</v>
      </c>
      <c r="F1207" t="s">
        <v>24</v>
      </c>
      <c r="G1207">
        <v>255.04</v>
      </c>
      <c r="H1207">
        <v>5</v>
      </c>
      <c r="I1207">
        <v>28.62</v>
      </c>
    </row>
    <row r="1208" spans="1:9" x14ac:dyDescent="0.35">
      <c r="A1208" t="s">
        <v>1437</v>
      </c>
      <c r="B1208" t="s">
        <v>1438</v>
      </c>
      <c r="C1208" t="s">
        <v>16</v>
      </c>
      <c r="D1208" t="s">
        <v>38</v>
      </c>
      <c r="E1208" t="s">
        <v>4</v>
      </c>
      <c r="F1208" t="s">
        <v>20</v>
      </c>
      <c r="G1208">
        <v>53.64</v>
      </c>
      <c r="H1208">
        <v>2</v>
      </c>
      <c r="I1208">
        <v>1.1200000000000001</v>
      </c>
    </row>
    <row r="1209" spans="1:9" x14ac:dyDescent="0.35">
      <c r="A1209" t="s">
        <v>1439</v>
      </c>
      <c r="B1209" t="s">
        <v>1438</v>
      </c>
      <c r="C1209" t="s">
        <v>34</v>
      </c>
      <c r="D1209" t="s">
        <v>17</v>
      </c>
      <c r="E1209" t="s">
        <v>3</v>
      </c>
      <c r="F1209" t="s">
        <v>49</v>
      </c>
      <c r="G1209">
        <v>265.31</v>
      </c>
      <c r="H1209">
        <v>1</v>
      </c>
      <c r="I1209">
        <v>-24.06</v>
      </c>
    </row>
    <row r="1210" spans="1:9" x14ac:dyDescent="0.35">
      <c r="A1210" t="s">
        <v>1440</v>
      </c>
      <c r="B1210" t="s">
        <v>1438</v>
      </c>
      <c r="C1210" t="s">
        <v>34</v>
      </c>
      <c r="D1210" t="s">
        <v>17</v>
      </c>
      <c r="E1210" t="s">
        <v>5</v>
      </c>
      <c r="F1210" t="s">
        <v>29</v>
      </c>
      <c r="G1210">
        <v>304.7</v>
      </c>
      <c r="H1210">
        <v>8</v>
      </c>
      <c r="I1210">
        <v>76.599999999999994</v>
      </c>
    </row>
    <row r="1211" spans="1:9" x14ac:dyDescent="0.35">
      <c r="A1211" t="s">
        <v>1441</v>
      </c>
      <c r="B1211" t="s">
        <v>1438</v>
      </c>
      <c r="C1211" t="s">
        <v>26</v>
      </c>
      <c r="D1211" t="s">
        <v>23</v>
      </c>
      <c r="E1211" t="s">
        <v>4</v>
      </c>
      <c r="F1211" t="s">
        <v>24</v>
      </c>
      <c r="G1211">
        <v>71.19</v>
      </c>
      <c r="H1211">
        <v>6</v>
      </c>
      <c r="I1211">
        <v>14.69</v>
      </c>
    </row>
    <row r="1212" spans="1:9" x14ac:dyDescent="0.35">
      <c r="A1212" t="s">
        <v>1442</v>
      </c>
      <c r="B1212" t="s">
        <v>1438</v>
      </c>
      <c r="C1212" t="s">
        <v>34</v>
      </c>
      <c r="D1212" t="s">
        <v>17</v>
      </c>
      <c r="E1212" t="s">
        <v>3</v>
      </c>
      <c r="F1212" t="s">
        <v>27</v>
      </c>
      <c r="G1212">
        <v>476.3</v>
      </c>
      <c r="H1212">
        <v>5</v>
      </c>
      <c r="I1212">
        <v>-51.98</v>
      </c>
    </row>
    <row r="1213" spans="1:9" x14ac:dyDescent="0.35">
      <c r="A1213" t="s">
        <v>1443</v>
      </c>
      <c r="B1213" t="s">
        <v>1438</v>
      </c>
      <c r="C1213" t="s">
        <v>16</v>
      </c>
      <c r="D1213" t="s">
        <v>17</v>
      </c>
      <c r="E1213" t="s">
        <v>3</v>
      </c>
      <c r="F1213" t="s">
        <v>49</v>
      </c>
      <c r="G1213">
        <v>27.67</v>
      </c>
      <c r="H1213">
        <v>9</v>
      </c>
      <c r="I1213">
        <v>2.92</v>
      </c>
    </row>
    <row r="1214" spans="1:9" x14ac:dyDescent="0.35">
      <c r="A1214" t="s">
        <v>1444</v>
      </c>
      <c r="B1214" t="s">
        <v>1445</v>
      </c>
      <c r="C1214" t="s">
        <v>22</v>
      </c>
      <c r="D1214" t="s">
        <v>17</v>
      </c>
      <c r="E1214" t="s">
        <v>5</v>
      </c>
      <c r="F1214" t="s">
        <v>29</v>
      </c>
      <c r="G1214">
        <v>44.36</v>
      </c>
      <c r="H1214">
        <v>2</v>
      </c>
      <c r="I1214">
        <v>6.15</v>
      </c>
    </row>
    <row r="1215" spans="1:9" x14ac:dyDescent="0.35">
      <c r="A1215" t="s">
        <v>1446</v>
      </c>
      <c r="B1215" t="s">
        <v>1445</v>
      </c>
      <c r="C1215" t="s">
        <v>26</v>
      </c>
      <c r="D1215" t="s">
        <v>23</v>
      </c>
      <c r="E1215" t="s">
        <v>4</v>
      </c>
      <c r="F1215" t="s">
        <v>39</v>
      </c>
      <c r="G1215">
        <v>135.69</v>
      </c>
      <c r="H1215">
        <v>8</v>
      </c>
      <c r="I1215">
        <v>-3.25</v>
      </c>
    </row>
    <row r="1216" spans="1:9" x14ac:dyDescent="0.35">
      <c r="A1216" t="s">
        <v>1447</v>
      </c>
      <c r="B1216" t="s">
        <v>1445</v>
      </c>
      <c r="C1216" t="s">
        <v>22</v>
      </c>
      <c r="D1216" t="s">
        <v>23</v>
      </c>
      <c r="E1216" t="s">
        <v>4</v>
      </c>
      <c r="F1216" t="s">
        <v>20</v>
      </c>
      <c r="G1216">
        <v>148.63</v>
      </c>
      <c r="H1216">
        <v>9</v>
      </c>
      <c r="I1216">
        <v>38.74</v>
      </c>
    </row>
    <row r="1217" spans="1:9" x14ac:dyDescent="0.35">
      <c r="A1217" t="s">
        <v>1448</v>
      </c>
      <c r="B1217" t="s">
        <v>1445</v>
      </c>
      <c r="C1217" t="s">
        <v>16</v>
      </c>
      <c r="D1217" t="s">
        <v>17</v>
      </c>
      <c r="E1217" t="s">
        <v>5</v>
      </c>
      <c r="F1217" t="s">
        <v>31</v>
      </c>
      <c r="G1217">
        <v>175.41</v>
      </c>
      <c r="H1217">
        <v>1</v>
      </c>
      <c r="I1217">
        <v>3.95</v>
      </c>
    </row>
    <row r="1218" spans="1:9" x14ac:dyDescent="0.35">
      <c r="A1218" t="s">
        <v>1449</v>
      </c>
      <c r="B1218" t="s">
        <v>1445</v>
      </c>
      <c r="C1218" t="s">
        <v>34</v>
      </c>
      <c r="D1218" t="s">
        <v>17</v>
      </c>
      <c r="E1218" t="s">
        <v>5</v>
      </c>
      <c r="F1218" t="s">
        <v>41</v>
      </c>
      <c r="G1218">
        <v>22.57</v>
      </c>
      <c r="H1218">
        <v>7</v>
      </c>
      <c r="I1218">
        <v>5.18</v>
      </c>
    </row>
    <row r="1219" spans="1:9" x14ac:dyDescent="0.35">
      <c r="A1219" t="s">
        <v>1450</v>
      </c>
      <c r="B1219" t="s">
        <v>1445</v>
      </c>
      <c r="C1219" t="s">
        <v>26</v>
      </c>
      <c r="D1219" t="s">
        <v>23</v>
      </c>
      <c r="E1219" t="s">
        <v>4</v>
      </c>
      <c r="F1219" t="s">
        <v>39</v>
      </c>
      <c r="G1219">
        <v>504.21</v>
      </c>
      <c r="H1219">
        <v>8</v>
      </c>
      <c r="I1219">
        <v>232.83</v>
      </c>
    </row>
    <row r="1220" spans="1:9" x14ac:dyDescent="0.35">
      <c r="A1220" t="s">
        <v>1451</v>
      </c>
      <c r="B1220" t="s">
        <v>1452</v>
      </c>
      <c r="C1220" t="s">
        <v>16</v>
      </c>
      <c r="D1220" t="s">
        <v>23</v>
      </c>
      <c r="E1220" t="s">
        <v>4</v>
      </c>
      <c r="F1220" t="s">
        <v>24</v>
      </c>
      <c r="G1220">
        <v>26.84</v>
      </c>
      <c r="H1220">
        <v>3</v>
      </c>
      <c r="I1220">
        <v>3.99</v>
      </c>
    </row>
    <row r="1221" spans="1:9" x14ac:dyDescent="0.35">
      <c r="A1221" t="s">
        <v>1453</v>
      </c>
      <c r="B1221" t="s">
        <v>1452</v>
      </c>
      <c r="C1221" t="s">
        <v>26</v>
      </c>
      <c r="D1221" t="s">
        <v>17</v>
      </c>
      <c r="E1221" t="s">
        <v>5</v>
      </c>
      <c r="F1221" t="s">
        <v>41</v>
      </c>
      <c r="G1221">
        <v>43.16</v>
      </c>
      <c r="H1221">
        <v>4</v>
      </c>
      <c r="I1221">
        <v>5.95</v>
      </c>
    </row>
    <row r="1222" spans="1:9" x14ac:dyDescent="0.35">
      <c r="A1222" t="s">
        <v>1454</v>
      </c>
      <c r="B1222" t="s">
        <v>1452</v>
      </c>
      <c r="C1222" t="s">
        <v>26</v>
      </c>
      <c r="D1222" t="s">
        <v>23</v>
      </c>
      <c r="E1222" t="s">
        <v>4</v>
      </c>
      <c r="F1222" t="s">
        <v>20</v>
      </c>
      <c r="G1222">
        <v>22.12</v>
      </c>
      <c r="H1222">
        <v>3</v>
      </c>
      <c r="I1222">
        <v>3.19</v>
      </c>
    </row>
    <row r="1223" spans="1:9" x14ac:dyDescent="0.35">
      <c r="A1223" t="s">
        <v>1455</v>
      </c>
      <c r="B1223" t="s">
        <v>1452</v>
      </c>
      <c r="C1223" t="s">
        <v>34</v>
      </c>
      <c r="D1223" t="s">
        <v>17</v>
      </c>
      <c r="E1223" t="s">
        <v>5</v>
      </c>
      <c r="F1223" t="s">
        <v>29</v>
      </c>
      <c r="G1223">
        <v>145.5</v>
      </c>
      <c r="H1223">
        <v>7</v>
      </c>
      <c r="I1223">
        <v>35.64</v>
      </c>
    </row>
    <row r="1224" spans="1:9" x14ac:dyDescent="0.35">
      <c r="A1224" t="s">
        <v>1456</v>
      </c>
      <c r="B1224" t="s">
        <v>1452</v>
      </c>
      <c r="C1224" t="s">
        <v>16</v>
      </c>
      <c r="D1224" t="s">
        <v>17</v>
      </c>
      <c r="E1224" t="s">
        <v>3</v>
      </c>
      <c r="F1224" t="s">
        <v>18</v>
      </c>
      <c r="G1224">
        <v>423.83</v>
      </c>
      <c r="H1224">
        <v>9</v>
      </c>
      <c r="I1224">
        <v>-14.38</v>
      </c>
    </row>
    <row r="1225" spans="1:9" x14ac:dyDescent="0.35">
      <c r="A1225" t="s">
        <v>1457</v>
      </c>
      <c r="B1225" t="s">
        <v>1452</v>
      </c>
      <c r="C1225" t="s">
        <v>22</v>
      </c>
      <c r="D1225" t="s">
        <v>23</v>
      </c>
      <c r="E1225" t="s">
        <v>4</v>
      </c>
      <c r="F1225" t="s">
        <v>20</v>
      </c>
      <c r="G1225">
        <v>184.47</v>
      </c>
      <c r="H1225">
        <v>3</v>
      </c>
      <c r="I1225">
        <v>39.89</v>
      </c>
    </row>
    <row r="1226" spans="1:9" x14ac:dyDescent="0.35">
      <c r="A1226" t="s">
        <v>1458</v>
      </c>
      <c r="B1226" t="s">
        <v>1459</v>
      </c>
      <c r="C1226" t="s">
        <v>26</v>
      </c>
      <c r="D1226" t="s">
        <v>23</v>
      </c>
      <c r="E1226" t="s">
        <v>3</v>
      </c>
      <c r="F1226" t="s">
        <v>27</v>
      </c>
      <c r="G1226">
        <v>279.45</v>
      </c>
      <c r="H1226">
        <v>6</v>
      </c>
      <c r="I1226">
        <v>-43.01</v>
      </c>
    </row>
    <row r="1227" spans="1:9" x14ac:dyDescent="0.35">
      <c r="A1227" t="s">
        <v>1460</v>
      </c>
      <c r="B1227" t="s">
        <v>1459</v>
      </c>
      <c r="C1227" t="s">
        <v>26</v>
      </c>
      <c r="D1227" t="s">
        <v>17</v>
      </c>
      <c r="E1227" t="s">
        <v>4</v>
      </c>
      <c r="F1227" t="s">
        <v>39</v>
      </c>
      <c r="G1227">
        <v>22.01</v>
      </c>
      <c r="H1227">
        <v>8</v>
      </c>
      <c r="I1227">
        <v>7.02</v>
      </c>
    </row>
    <row r="1228" spans="1:9" x14ac:dyDescent="0.35">
      <c r="A1228" t="s">
        <v>1461</v>
      </c>
      <c r="B1228" t="s">
        <v>1459</v>
      </c>
      <c r="C1228" t="s">
        <v>22</v>
      </c>
      <c r="D1228" t="s">
        <v>23</v>
      </c>
      <c r="E1228" t="s">
        <v>3</v>
      </c>
      <c r="F1228" t="s">
        <v>18</v>
      </c>
      <c r="G1228">
        <v>137.13999999999999</v>
      </c>
      <c r="H1228">
        <v>6</v>
      </c>
      <c r="I1228">
        <v>-3.5</v>
      </c>
    </row>
    <row r="1229" spans="1:9" x14ac:dyDescent="0.35">
      <c r="A1229" t="s">
        <v>1462</v>
      </c>
      <c r="B1229" t="s">
        <v>1459</v>
      </c>
      <c r="C1229" t="s">
        <v>16</v>
      </c>
      <c r="D1229" t="s">
        <v>23</v>
      </c>
      <c r="E1229" t="s">
        <v>5</v>
      </c>
      <c r="F1229" t="s">
        <v>31</v>
      </c>
      <c r="G1229">
        <v>112.31</v>
      </c>
      <c r="H1229">
        <v>2</v>
      </c>
      <c r="I1229">
        <v>36.24</v>
      </c>
    </row>
    <row r="1230" spans="1:9" x14ac:dyDescent="0.35">
      <c r="A1230" t="s">
        <v>1463</v>
      </c>
      <c r="B1230" t="s">
        <v>1459</v>
      </c>
      <c r="C1230" t="s">
        <v>26</v>
      </c>
      <c r="D1230" t="s">
        <v>23</v>
      </c>
      <c r="E1230" t="s">
        <v>4</v>
      </c>
      <c r="F1230" t="s">
        <v>39</v>
      </c>
      <c r="G1230">
        <v>123.66</v>
      </c>
      <c r="H1230">
        <v>7</v>
      </c>
      <c r="I1230">
        <v>10.78</v>
      </c>
    </row>
    <row r="1231" spans="1:9" x14ac:dyDescent="0.35">
      <c r="A1231" t="s">
        <v>1464</v>
      </c>
      <c r="B1231" t="s">
        <v>1459</v>
      </c>
      <c r="C1231" t="s">
        <v>26</v>
      </c>
      <c r="D1231" t="s">
        <v>23</v>
      </c>
      <c r="E1231" t="s">
        <v>3</v>
      </c>
      <c r="F1231" t="s">
        <v>49</v>
      </c>
      <c r="G1231">
        <v>31.24</v>
      </c>
      <c r="H1231">
        <v>2</v>
      </c>
      <c r="I1231">
        <v>2.46</v>
      </c>
    </row>
    <row r="1232" spans="1:9" x14ac:dyDescent="0.35">
      <c r="A1232" t="s">
        <v>1465</v>
      </c>
      <c r="B1232" t="s">
        <v>1466</v>
      </c>
      <c r="C1232" t="s">
        <v>26</v>
      </c>
      <c r="D1232" t="s">
        <v>23</v>
      </c>
      <c r="E1232" t="s">
        <v>4</v>
      </c>
      <c r="F1232" t="s">
        <v>24</v>
      </c>
      <c r="G1232">
        <v>193.01</v>
      </c>
      <c r="H1232">
        <v>2</v>
      </c>
      <c r="I1232">
        <v>23.99</v>
      </c>
    </row>
    <row r="1233" spans="1:9" x14ac:dyDescent="0.35">
      <c r="A1233" t="s">
        <v>1467</v>
      </c>
      <c r="B1233" t="s">
        <v>1466</v>
      </c>
      <c r="C1233" t="s">
        <v>16</v>
      </c>
      <c r="D1233" t="s">
        <v>17</v>
      </c>
      <c r="E1233" t="s">
        <v>5</v>
      </c>
      <c r="F1233" t="s">
        <v>31</v>
      </c>
      <c r="G1233">
        <v>124.94</v>
      </c>
      <c r="H1233">
        <v>2</v>
      </c>
      <c r="I1233">
        <v>34.700000000000003</v>
      </c>
    </row>
    <row r="1234" spans="1:9" x14ac:dyDescent="0.35">
      <c r="A1234" t="s">
        <v>1468</v>
      </c>
      <c r="B1234" t="s">
        <v>1466</v>
      </c>
      <c r="C1234" t="s">
        <v>16</v>
      </c>
      <c r="D1234" t="s">
        <v>17</v>
      </c>
      <c r="E1234" t="s">
        <v>5</v>
      </c>
      <c r="F1234" t="s">
        <v>29</v>
      </c>
      <c r="G1234">
        <v>237.32</v>
      </c>
      <c r="H1234">
        <v>1</v>
      </c>
      <c r="I1234">
        <v>37.19</v>
      </c>
    </row>
    <row r="1235" spans="1:9" x14ac:dyDescent="0.35">
      <c r="A1235" t="s">
        <v>1469</v>
      </c>
      <c r="B1235" t="s">
        <v>1466</v>
      </c>
      <c r="C1235" t="s">
        <v>22</v>
      </c>
      <c r="D1235" t="s">
        <v>17</v>
      </c>
      <c r="E1235" t="s">
        <v>5</v>
      </c>
      <c r="F1235" t="s">
        <v>41</v>
      </c>
      <c r="G1235">
        <v>119.62</v>
      </c>
      <c r="H1235">
        <v>1</v>
      </c>
      <c r="I1235">
        <v>17.98</v>
      </c>
    </row>
    <row r="1236" spans="1:9" x14ac:dyDescent="0.35">
      <c r="A1236" t="s">
        <v>1470</v>
      </c>
      <c r="B1236" t="s">
        <v>1466</v>
      </c>
      <c r="C1236" t="s">
        <v>16</v>
      </c>
      <c r="D1236" t="s">
        <v>17</v>
      </c>
      <c r="E1236" t="s">
        <v>4</v>
      </c>
      <c r="F1236" t="s">
        <v>39</v>
      </c>
      <c r="G1236">
        <v>44.27</v>
      </c>
      <c r="H1236">
        <v>7</v>
      </c>
      <c r="I1236">
        <v>9.69</v>
      </c>
    </row>
    <row r="1237" spans="1:9" x14ac:dyDescent="0.35">
      <c r="A1237" t="s">
        <v>1471</v>
      </c>
      <c r="B1237" t="s">
        <v>1466</v>
      </c>
      <c r="C1237" t="s">
        <v>16</v>
      </c>
      <c r="D1237" t="s">
        <v>23</v>
      </c>
      <c r="E1237" t="s">
        <v>3</v>
      </c>
      <c r="F1237" t="s">
        <v>27</v>
      </c>
      <c r="G1237">
        <v>176.73</v>
      </c>
      <c r="H1237">
        <v>5</v>
      </c>
      <c r="I1237">
        <v>-16.68</v>
      </c>
    </row>
    <row r="1238" spans="1:9" x14ac:dyDescent="0.35">
      <c r="A1238" t="s">
        <v>1472</v>
      </c>
      <c r="B1238" t="s">
        <v>1473</v>
      </c>
      <c r="C1238" t="s">
        <v>34</v>
      </c>
      <c r="D1238" t="s">
        <v>23</v>
      </c>
      <c r="E1238" t="s">
        <v>4</v>
      </c>
      <c r="F1238" t="s">
        <v>39</v>
      </c>
      <c r="G1238">
        <v>48.38</v>
      </c>
      <c r="H1238">
        <v>3</v>
      </c>
      <c r="I1238">
        <v>3.13</v>
      </c>
    </row>
    <row r="1239" spans="1:9" x14ac:dyDescent="0.35">
      <c r="A1239" t="s">
        <v>1474</v>
      </c>
      <c r="B1239" t="s">
        <v>1473</v>
      </c>
      <c r="C1239" t="s">
        <v>22</v>
      </c>
      <c r="D1239" t="s">
        <v>17</v>
      </c>
      <c r="E1239" t="s">
        <v>3</v>
      </c>
      <c r="F1239" t="s">
        <v>18</v>
      </c>
      <c r="G1239">
        <v>328.82</v>
      </c>
      <c r="H1239">
        <v>1</v>
      </c>
      <c r="I1239">
        <v>-37.590000000000003</v>
      </c>
    </row>
    <row r="1240" spans="1:9" x14ac:dyDescent="0.35">
      <c r="A1240" t="s">
        <v>1475</v>
      </c>
      <c r="B1240" t="s">
        <v>1473</v>
      </c>
      <c r="C1240" t="s">
        <v>26</v>
      </c>
      <c r="D1240" t="s">
        <v>17</v>
      </c>
      <c r="E1240" t="s">
        <v>4</v>
      </c>
      <c r="F1240" t="s">
        <v>39</v>
      </c>
      <c r="G1240">
        <v>162.44</v>
      </c>
      <c r="H1240">
        <v>6</v>
      </c>
      <c r="I1240">
        <v>35.72</v>
      </c>
    </row>
    <row r="1241" spans="1:9" x14ac:dyDescent="0.35">
      <c r="A1241" t="s">
        <v>1476</v>
      </c>
      <c r="B1241" t="s">
        <v>1473</v>
      </c>
      <c r="C1241" t="s">
        <v>16</v>
      </c>
      <c r="D1241" t="s">
        <v>17</v>
      </c>
      <c r="E1241" t="s">
        <v>5</v>
      </c>
      <c r="F1241" t="s">
        <v>31</v>
      </c>
      <c r="G1241">
        <v>45.65</v>
      </c>
      <c r="H1241">
        <v>1</v>
      </c>
      <c r="I1241">
        <v>8.5399999999999991</v>
      </c>
    </row>
    <row r="1242" spans="1:9" x14ac:dyDescent="0.35">
      <c r="A1242" t="s">
        <v>1477</v>
      </c>
      <c r="B1242" t="s">
        <v>1473</v>
      </c>
      <c r="C1242" t="s">
        <v>26</v>
      </c>
      <c r="D1242" t="s">
        <v>17</v>
      </c>
      <c r="E1242" t="s">
        <v>4</v>
      </c>
      <c r="F1242" t="s">
        <v>24</v>
      </c>
      <c r="G1242">
        <v>511.87</v>
      </c>
      <c r="H1242">
        <v>9</v>
      </c>
      <c r="I1242">
        <v>70.760000000000005</v>
      </c>
    </row>
    <row r="1243" spans="1:9" x14ac:dyDescent="0.35">
      <c r="A1243" t="s">
        <v>1478</v>
      </c>
      <c r="B1243" t="s">
        <v>1473</v>
      </c>
      <c r="C1243" t="s">
        <v>26</v>
      </c>
      <c r="D1243" t="s">
        <v>23</v>
      </c>
      <c r="E1243" t="s">
        <v>4</v>
      </c>
      <c r="F1243" t="s">
        <v>20</v>
      </c>
      <c r="G1243">
        <v>129.59</v>
      </c>
      <c r="H1243">
        <v>2</v>
      </c>
      <c r="I1243">
        <v>19.63</v>
      </c>
    </row>
    <row r="1244" spans="1:9" x14ac:dyDescent="0.35">
      <c r="A1244" t="s">
        <v>1479</v>
      </c>
      <c r="B1244" t="s">
        <v>1480</v>
      </c>
      <c r="C1244" t="s">
        <v>34</v>
      </c>
      <c r="D1244" t="s">
        <v>17</v>
      </c>
      <c r="E1244" t="s">
        <v>4</v>
      </c>
      <c r="F1244" t="s">
        <v>20</v>
      </c>
      <c r="G1244">
        <v>31.35</v>
      </c>
      <c r="H1244">
        <v>1</v>
      </c>
      <c r="I1244">
        <v>-1.31</v>
      </c>
    </row>
    <row r="1245" spans="1:9" x14ac:dyDescent="0.35">
      <c r="A1245" t="s">
        <v>1481</v>
      </c>
      <c r="B1245" t="s">
        <v>1480</v>
      </c>
      <c r="C1245" t="s">
        <v>16</v>
      </c>
      <c r="D1245" t="s">
        <v>23</v>
      </c>
      <c r="E1245" t="s">
        <v>4</v>
      </c>
      <c r="F1245" t="s">
        <v>39</v>
      </c>
      <c r="G1245">
        <v>167.86</v>
      </c>
      <c r="H1245">
        <v>7</v>
      </c>
      <c r="I1245">
        <v>0.48</v>
      </c>
    </row>
    <row r="1246" spans="1:9" x14ac:dyDescent="0.35">
      <c r="A1246" t="s">
        <v>1482</v>
      </c>
      <c r="B1246" t="s">
        <v>1480</v>
      </c>
      <c r="C1246" t="s">
        <v>22</v>
      </c>
      <c r="D1246" t="s">
        <v>38</v>
      </c>
      <c r="E1246" t="s">
        <v>4</v>
      </c>
      <c r="F1246" t="s">
        <v>39</v>
      </c>
      <c r="G1246">
        <v>63.79</v>
      </c>
      <c r="H1246">
        <v>6</v>
      </c>
      <c r="I1246">
        <v>11.71</v>
      </c>
    </row>
    <row r="1247" spans="1:9" x14ac:dyDescent="0.35">
      <c r="A1247" t="s">
        <v>1483</v>
      </c>
      <c r="B1247" t="s">
        <v>1480</v>
      </c>
      <c r="C1247" t="s">
        <v>16</v>
      </c>
      <c r="D1247" t="s">
        <v>17</v>
      </c>
      <c r="E1247" t="s">
        <v>4</v>
      </c>
      <c r="F1247" t="s">
        <v>24</v>
      </c>
      <c r="G1247">
        <v>264.20999999999998</v>
      </c>
      <c r="H1247">
        <v>6</v>
      </c>
      <c r="I1247">
        <v>20.16</v>
      </c>
    </row>
    <row r="1248" spans="1:9" x14ac:dyDescent="0.35">
      <c r="A1248" t="s">
        <v>1484</v>
      </c>
      <c r="B1248" t="s">
        <v>1480</v>
      </c>
      <c r="C1248" t="s">
        <v>26</v>
      </c>
      <c r="D1248" t="s">
        <v>17</v>
      </c>
      <c r="E1248" t="s">
        <v>5</v>
      </c>
      <c r="F1248" t="s">
        <v>29</v>
      </c>
      <c r="G1248">
        <v>275.42</v>
      </c>
      <c r="H1248">
        <v>5</v>
      </c>
      <c r="I1248">
        <v>97.96</v>
      </c>
    </row>
    <row r="1249" spans="1:9" x14ac:dyDescent="0.35">
      <c r="A1249" t="s">
        <v>1485</v>
      </c>
      <c r="B1249" t="s">
        <v>1480</v>
      </c>
      <c r="C1249" t="s">
        <v>22</v>
      </c>
      <c r="D1249" t="s">
        <v>17</v>
      </c>
      <c r="E1249" t="s">
        <v>5</v>
      </c>
      <c r="F1249" t="s">
        <v>29</v>
      </c>
      <c r="G1249">
        <v>599.11</v>
      </c>
      <c r="H1249">
        <v>4</v>
      </c>
      <c r="I1249">
        <v>207.7</v>
      </c>
    </row>
    <row r="1250" spans="1:9" x14ac:dyDescent="0.35">
      <c r="A1250" t="s">
        <v>1486</v>
      </c>
      <c r="B1250" t="s">
        <v>1487</v>
      </c>
      <c r="C1250" t="s">
        <v>16</v>
      </c>
      <c r="D1250" t="s">
        <v>23</v>
      </c>
      <c r="E1250" t="s">
        <v>4</v>
      </c>
      <c r="F1250" t="s">
        <v>20</v>
      </c>
      <c r="G1250">
        <v>124.53</v>
      </c>
      <c r="H1250">
        <v>4</v>
      </c>
      <c r="I1250">
        <v>27.64</v>
      </c>
    </row>
    <row r="1251" spans="1:9" x14ac:dyDescent="0.35">
      <c r="A1251" t="s">
        <v>1488</v>
      </c>
      <c r="B1251" t="s">
        <v>1487</v>
      </c>
      <c r="C1251" t="s">
        <v>26</v>
      </c>
      <c r="D1251" t="s">
        <v>23</v>
      </c>
      <c r="E1251" t="s">
        <v>4</v>
      </c>
      <c r="F1251" t="s">
        <v>39</v>
      </c>
      <c r="G1251">
        <v>111.03</v>
      </c>
      <c r="H1251">
        <v>3</v>
      </c>
      <c r="I1251">
        <v>36.86</v>
      </c>
    </row>
    <row r="1252" spans="1:9" x14ac:dyDescent="0.35">
      <c r="A1252" t="s">
        <v>1489</v>
      </c>
      <c r="B1252" t="s">
        <v>1487</v>
      </c>
      <c r="C1252" t="s">
        <v>26</v>
      </c>
      <c r="D1252" t="s">
        <v>17</v>
      </c>
      <c r="E1252" t="s">
        <v>4</v>
      </c>
      <c r="F1252" t="s">
        <v>20</v>
      </c>
      <c r="G1252">
        <v>230.04</v>
      </c>
      <c r="H1252">
        <v>8</v>
      </c>
      <c r="I1252">
        <v>32.590000000000003</v>
      </c>
    </row>
    <row r="1253" spans="1:9" x14ac:dyDescent="0.35">
      <c r="A1253" t="s">
        <v>1490</v>
      </c>
      <c r="B1253" t="s">
        <v>1487</v>
      </c>
      <c r="C1253" t="s">
        <v>34</v>
      </c>
      <c r="D1253" t="s">
        <v>23</v>
      </c>
      <c r="E1253" t="s">
        <v>3</v>
      </c>
      <c r="F1253" t="s">
        <v>27</v>
      </c>
      <c r="G1253">
        <v>41.32</v>
      </c>
      <c r="H1253">
        <v>7</v>
      </c>
      <c r="I1253">
        <v>0.62</v>
      </c>
    </row>
    <row r="1254" spans="1:9" x14ac:dyDescent="0.35">
      <c r="A1254" t="s">
        <v>1491</v>
      </c>
      <c r="B1254" t="s">
        <v>1487</v>
      </c>
      <c r="C1254" t="s">
        <v>34</v>
      </c>
      <c r="D1254" t="s">
        <v>38</v>
      </c>
      <c r="E1254" t="s">
        <v>5</v>
      </c>
      <c r="F1254" t="s">
        <v>31</v>
      </c>
      <c r="G1254">
        <v>138.75</v>
      </c>
      <c r="H1254">
        <v>9</v>
      </c>
      <c r="I1254">
        <v>26.58</v>
      </c>
    </row>
    <row r="1255" spans="1:9" x14ac:dyDescent="0.35">
      <c r="A1255" t="s">
        <v>1492</v>
      </c>
      <c r="B1255" t="s">
        <v>1487</v>
      </c>
      <c r="C1255" t="s">
        <v>34</v>
      </c>
      <c r="D1255" t="s">
        <v>17</v>
      </c>
      <c r="E1255" t="s">
        <v>5</v>
      </c>
      <c r="F1255" t="s">
        <v>41</v>
      </c>
      <c r="G1255">
        <v>138.53</v>
      </c>
      <c r="H1255">
        <v>1</v>
      </c>
      <c r="I1255">
        <v>68.61</v>
      </c>
    </row>
    <row r="1256" spans="1:9" x14ac:dyDescent="0.35">
      <c r="A1256" t="s">
        <v>1493</v>
      </c>
      <c r="B1256" t="s">
        <v>1494</v>
      </c>
      <c r="C1256" t="s">
        <v>26</v>
      </c>
      <c r="D1256" t="s">
        <v>17</v>
      </c>
      <c r="E1256" t="s">
        <v>4</v>
      </c>
      <c r="F1256" t="s">
        <v>39</v>
      </c>
      <c r="G1256">
        <v>34.06</v>
      </c>
      <c r="H1256">
        <v>7</v>
      </c>
      <c r="I1256">
        <v>11.87</v>
      </c>
    </row>
    <row r="1257" spans="1:9" x14ac:dyDescent="0.35">
      <c r="A1257" t="s">
        <v>1495</v>
      </c>
      <c r="B1257" t="s">
        <v>1494</v>
      </c>
      <c r="C1257" t="s">
        <v>16</v>
      </c>
      <c r="D1257" t="s">
        <v>38</v>
      </c>
      <c r="E1257" t="s">
        <v>3</v>
      </c>
      <c r="F1257" t="s">
        <v>18</v>
      </c>
      <c r="G1257">
        <v>101.19</v>
      </c>
      <c r="H1257">
        <v>4</v>
      </c>
      <c r="I1257">
        <v>-4.9400000000000004</v>
      </c>
    </row>
    <row r="1258" spans="1:9" x14ac:dyDescent="0.35">
      <c r="A1258" t="s">
        <v>1496</v>
      </c>
      <c r="B1258" t="s">
        <v>1494</v>
      </c>
      <c r="C1258" t="s">
        <v>34</v>
      </c>
      <c r="D1258" t="s">
        <v>23</v>
      </c>
      <c r="E1258" t="s">
        <v>5</v>
      </c>
      <c r="F1258" t="s">
        <v>41</v>
      </c>
      <c r="G1258">
        <v>307.89</v>
      </c>
      <c r="H1258">
        <v>7</v>
      </c>
      <c r="I1258">
        <v>88.88</v>
      </c>
    </row>
    <row r="1259" spans="1:9" x14ac:dyDescent="0.35">
      <c r="A1259" t="s">
        <v>1497</v>
      </c>
      <c r="B1259" t="s">
        <v>1494</v>
      </c>
      <c r="C1259" t="s">
        <v>16</v>
      </c>
      <c r="D1259" t="s">
        <v>38</v>
      </c>
      <c r="E1259" t="s">
        <v>3</v>
      </c>
      <c r="F1259" t="s">
        <v>27</v>
      </c>
      <c r="G1259">
        <v>310.85000000000002</v>
      </c>
      <c r="H1259">
        <v>1</v>
      </c>
      <c r="I1259">
        <v>26.71</v>
      </c>
    </row>
    <row r="1260" spans="1:9" x14ac:dyDescent="0.35">
      <c r="A1260" t="s">
        <v>1498</v>
      </c>
      <c r="B1260" t="s">
        <v>1494</v>
      </c>
      <c r="C1260" t="s">
        <v>34</v>
      </c>
      <c r="D1260" t="s">
        <v>23</v>
      </c>
      <c r="E1260" t="s">
        <v>5</v>
      </c>
      <c r="F1260" t="s">
        <v>29</v>
      </c>
      <c r="G1260">
        <v>35.68</v>
      </c>
      <c r="H1260">
        <v>5</v>
      </c>
      <c r="I1260">
        <v>8.4</v>
      </c>
    </row>
    <row r="1261" spans="1:9" x14ac:dyDescent="0.35">
      <c r="A1261" t="s">
        <v>1499</v>
      </c>
      <c r="B1261" t="s">
        <v>1494</v>
      </c>
      <c r="C1261" t="s">
        <v>22</v>
      </c>
      <c r="D1261" t="s">
        <v>38</v>
      </c>
      <c r="E1261" t="s">
        <v>3</v>
      </c>
      <c r="F1261" t="s">
        <v>27</v>
      </c>
      <c r="G1261">
        <v>34.270000000000003</v>
      </c>
      <c r="H1261">
        <v>3</v>
      </c>
      <c r="I1261">
        <v>-3.96</v>
      </c>
    </row>
    <row r="1262" spans="1:9" x14ac:dyDescent="0.35">
      <c r="A1262" t="s">
        <v>1500</v>
      </c>
      <c r="B1262" t="s">
        <v>1501</v>
      </c>
      <c r="C1262" t="s">
        <v>22</v>
      </c>
      <c r="D1262" t="s">
        <v>17</v>
      </c>
      <c r="E1262" t="s">
        <v>5</v>
      </c>
      <c r="F1262" t="s">
        <v>29</v>
      </c>
      <c r="G1262">
        <v>65.709999999999994</v>
      </c>
      <c r="H1262">
        <v>5</v>
      </c>
      <c r="I1262">
        <v>22.17</v>
      </c>
    </row>
    <row r="1263" spans="1:9" x14ac:dyDescent="0.35">
      <c r="A1263" t="s">
        <v>1502</v>
      </c>
      <c r="B1263" t="s">
        <v>1501</v>
      </c>
      <c r="C1263" t="s">
        <v>34</v>
      </c>
      <c r="D1263" t="s">
        <v>23</v>
      </c>
      <c r="E1263" t="s">
        <v>4</v>
      </c>
      <c r="F1263" t="s">
        <v>39</v>
      </c>
      <c r="G1263">
        <v>331.64</v>
      </c>
      <c r="H1263">
        <v>4</v>
      </c>
      <c r="I1263">
        <v>52.35</v>
      </c>
    </row>
    <row r="1264" spans="1:9" x14ac:dyDescent="0.35">
      <c r="A1264" t="s">
        <v>1503</v>
      </c>
      <c r="B1264" t="s">
        <v>1501</v>
      </c>
      <c r="C1264" t="s">
        <v>26</v>
      </c>
      <c r="D1264" t="s">
        <v>38</v>
      </c>
      <c r="E1264" t="s">
        <v>3</v>
      </c>
      <c r="F1264" t="s">
        <v>18</v>
      </c>
      <c r="G1264">
        <v>40.700000000000003</v>
      </c>
      <c r="H1264">
        <v>2</v>
      </c>
      <c r="I1264">
        <v>-1.29</v>
      </c>
    </row>
    <row r="1265" spans="1:9" x14ac:dyDescent="0.35">
      <c r="A1265" t="s">
        <v>1504</v>
      </c>
      <c r="B1265" t="s">
        <v>1501</v>
      </c>
      <c r="C1265" t="s">
        <v>34</v>
      </c>
      <c r="D1265" t="s">
        <v>23</v>
      </c>
      <c r="E1265" t="s">
        <v>3</v>
      </c>
      <c r="F1265" t="s">
        <v>18</v>
      </c>
      <c r="G1265">
        <v>210.94</v>
      </c>
      <c r="H1265">
        <v>4</v>
      </c>
      <c r="I1265">
        <v>-28.15</v>
      </c>
    </row>
    <row r="1266" spans="1:9" x14ac:dyDescent="0.35">
      <c r="A1266" t="s">
        <v>1505</v>
      </c>
      <c r="B1266" t="s">
        <v>1501</v>
      </c>
      <c r="C1266" t="s">
        <v>34</v>
      </c>
      <c r="D1266" t="s">
        <v>17</v>
      </c>
      <c r="E1266" t="s">
        <v>5</v>
      </c>
      <c r="F1266" t="s">
        <v>31</v>
      </c>
      <c r="G1266">
        <v>36</v>
      </c>
      <c r="H1266">
        <v>3</v>
      </c>
      <c r="I1266">
        <v>2.82</v>
      </c>
    </row>
    <row r="1267" spans="1:9" x14ac:dyDescent="0.35">
      <c r="A1267" t="s">
        <v>1506</v>
      </c>
      <c r="B1267" t="s">
        <v>1501</v>
      </c>
      <c r="C1267" t="s">
        <v>26</v>
      </c>
      <c r="D1267" t="s">
        <v>17</v>
      </c>
      <c r="E1267" t="s">
        <v>5</v>
      </c>
      <c r="F1267" t="s">
        <v>31</v>
      </c>
      <c r="G1267">
        <v>166.38</v>
      </c>
      <c r="H1267">
        <v>1</v>
      </c>
      <c r="I1267">
        <v>45.52</v>
      </c>
    </row>
    <row r="1268" spans="1:9" x14ac:dyDescent="0.35">
      <c r="A1268" t="s">
        <v>1507</v>
      </c>
      <c r="B1268" t="s">
        <v>1508</v>
      </c>
      <c r="C1268" t="s">
        <v>22</v>
      </c>
      <c r="D1268" t="s">
        <v>17</v>
      </c>
      <c r="E1268" t="s">
        <v>3</v>
      </c>
      <c r="F1268" t="s">
        <v>18</v>
      </c>
      <c r="G1268">
        <v>86.02</v>
      </c>
      <c r="H1268">
        <v>8</v>
      </c>
      <c r="I1268">
        <v>3.48</v>
      </c>
    </row>
    <row r="1269" spans="1:9" x14ac:dyDescent="0.35">
      <c r="A1269" t="s">
        <v>1509</v>
      </c>
      <c r="B1269" t="s">
        <v>1508</v>
      </c>
      <c r="C1269" t="s">
        <v>16</v>
      </c>
      <c r="D1269" t="s">
        <v>17</v>
      </c>
      <c r="E1269" t="s">
        <v>3</v>
      </c>
      <c r="F1269" t="s">
        <v>49</v>
      </c>
      <c r="G1269">
        <v>253.32</v>
      </c>
      <c r="H1269">
        <v>5</v>
      </c>
      <c r="I1269">
        <v>-18.39</v>
      </c>
    </row>
    <row r="1270" spans="1:9" x14ac:dyDescent="0.35">
      <c r="A1270" t="s">
        <v>1510</v>
      </c>
      <c r="B1270" t="s">
        <v>1508</v>
      </c>
      <c r="C1270" t="s">
        <v>34</v>
      </c>
      <c r="D1270" t="s">
        <v>17</v>
      </c>
      <c r="E1270" t="s">
        <v>4</v>
      </c>
      <c r="F1270" t="s">
        <v>39</v>
      </c>
      <c r="G1270">
        <v>59.93</v>
      </c>
      <c r="H1270">
        <v>4</v>
      </c>
      <c r="I1270">
        <v>17.600000000000001</v>
      </c>
    </row>
    <row r="1271" spans="1:9" x14ac:dyDescent="0.35">
      <c r="A1271" t="s">
        <v>1511</v>
      </c>
      <c r="B1271" t="s">
        <v>1508</v>
      </c>
      <c r="C1271" t="s">
        <v>26</v>
      </c>
      <c r="D1271" t="s">
        <v>23</v>
      </c>
      <c r="E1271" t="s">
        <v>5</v>
      </c>
      <c r="F1271" t="s">
        <v>31</v>
      </c>
      <c r="G1271">
        <v>172.92</v>
      </c>
      <c r="H1271">
        <v>5</v>
      </c>
      <c r="I1271">
        <v>31.06</v>
      </c>
    </row>
    <row r="1272" spans="1:9" x14ac:dyDescent="0.35">
      <c r="A1272" t="s">
        <v>1512</v>
      </c>
      <c r="B1272" t="s">
        <v>1508</v>
      </c>
      <c r="C1272" t="s">
        <v>34</v>
      </c>
      <c r="D1272" t="s">
        <v>23</v>
      </c>
      <c r="E1272" t="s">
        <v>4</v>
      </c>
      <c r="F1272" t="s">
        <v>39</v>
      </c>
      <c r="G1272">
        <v>60.32</v>
      </c>
      <c r="H1272">
        <v>4</v>
      </c>
      <c r="I1272">
        <v>2.69</v>
      </c>
    </row>
    <row r="1273" spans="1:9" x14ac:dyDescent="0.35">
      <c r="A1273" t="s">
        <v>1513</v>
      </c>
      <c r="B1273" t="s">
        <v>1508</v>
      </c>
      <c r="C1273" t="s">
        <v>26</v>
      </c>
      <c r="D1273" t="s">
        <v>17</v>
      </c>
      <c r="E1273" t="s">
        <v>4</v>
      </c>
      <c r="F1273" t="s">
        <v>24</v>
      </c>
      <c r="G1273">
        <v>207.59</v>
      </c>
      <c r="H1273">
        <v>3</v>
      </c>
      <c r="I1273">
        <v>29.74</v>
      </c>
    </row>
    <row r="1274" spans="1:9" x14ac:dyDescent="0.35">
      <c r="A1274" t="s">
        <v>1514</v>
      </c>
      <c r="B1274" t="s">
        <v>1515</v>
      </c>
      <c r="C1274" t="s">
        <v>16</v>
      </c>
      <c r="D1274" t="s">
        <v>23</v>
      </c>
      <c r="E1274" t="s">
        <v>4</v>
      </c>
      <c r="F1274" t="s">
        <v>39</v>
      </c>
      <c r="G1274">
        <v>330.34</v>
      </c>
      <c r="H1274">
        <v>5</v>
      </c>
      <c r="I1274">
        <v>46.82</v>
      </c>
    </row>
    <row r="1275" spans="1:9" x14ac:dyDescent="0.35">
      <c r="A1275" t="s">
        <v>1516</v>
      </c>
      <c r="B1275" t="s">
        <v>1515</v>
      </c>
      <c r="C1275" t="s">
        <v>16</v>
      </c>
      <c r="D1275" t="s">
        <v>17</v>
      </c>
      <c r="E1275" t="s">
        <v>5</v>
      </c>
      <c r="F1275" t="s">
        <v>29</v>
      </c>
      <c r="G1275">
        <v>40.340000000000003</v>
      </c>
      <c r="H1275">
        <v>4</v>
      </c>
      <c r="I1275">
        <v>13.19</v>
      </c>
    </row>
    <row r="1276" spans="1:9" x14ac:dyDescent="0.35">
      <c r="A1276" t="s">
        <v>1517</v>
      </c>
      <c r="B1276" t="s">
        <v>1515</v>
      </c>
      <c r="C1276" t="s">
        <v>22</v>
      </c>
      <c r="D1276" t="s">
        <v>17</v>
      </c>
      <c r="E1276" t="s">
        <v>3</v>
      </c>
      <c r="F1276" t="s">
        <v>27</v>
      </c>
      <c r="G1276">
        <v>322.16000000000003</v>
      </c>
      <c r="H1276">
        <v>1</v>
      </c>
      <c r="I1276">
        <v>-41.07</v>
      </c>
    </row>
    <row r="1277" spans="1:9" x14ac:dyDescent="0.35">
      <c r="A1277" t="s">
        <v>1518</v>
      </c>
      <c r="B1277" t="s">
        <v>1515</v>
      </c>
      <c r="C1277" t="s">
        <v>26</v>
      </c>
      <c r="D1277" t="s">
        <v>17</v>
      </c>
      <c r="E1277" t="s">
        <v>5</v>
      </c>
      <c r="F1277" t="s">
        <v>31</v>
      </c>
      <c r="G1277">
        <v>155.05000000000001</v>
      </c>
      <c r="H1277">
        <v>3</v>
      </c>
      <c r="I1277">
        <v>59.97</v>
      </c>
    </row>
    <row r="1278" spans="1:9" x14ac:dyDescent="0.35">
      <c r="A1278" t="s">
        <v>1519</v>
      </c>
      <c r="B1278" t="s">
        <v>1515</v>
      </c>
      <c r="C1278" t="s">
        <v>26</v>
      </c>
      <c r="D1278" t="s">
        <v>23</v>
      </c>
      <c r="E1278" t="s">
        <v>5</v>
      </c>
      <c r="F1278" t="s">
        <v>29</v>
      </c>
      <c r="G1278">
        <v>40.39</v>
      </c>
      <c r="H1278">
        <v>8</v>
      </c>
      <c r="I1278">
        <v>18.04</v>
      </c>
    </row>
    <row r="1279" spans="1:9" x14ac:dyDescent="0.35">
      <c r="A1279" t="s">
        <v>1520</v>
      </c>
      <c r="B1279" t="s">
        <v>1515</v>
      </c>
      <c r="C1279" t="s">
        <v>22</v>
      </c>
      <c r="D1279" t="s">
        <v>17</v>
      </c>
      <c r="E1279" t="s">
        <v>4</v>
      </c>
      <c r="F1279" t="s">
        <v>24</v>
      </c>
      <c r="G1279">
        <v>103.67</v>
      </c>
      <c r="H1279">
        <v>7</v>
      </c>
      <c r="I1279">
        <v>15.14</v>
      </c>
    </row>
    <row r="1280" spans="1:9" x14ac:dyDescent="0.35">
      <c r="A1280" t="s">
        <v>1521</v>
      </c>
      <c r="B1280" t="s">
        <v>1522</v>
      </c>
      <c r="C1280" t="s">
        <v>22</v>
      </c>
      <c r="D1280" t="s">
        <v>17</v>
      </c>
      <c r="E1280" t="s">
        <v>5</v>
      </c>
      <c r="F1280" t="s">
        <v>41</v>
      </c>
      <c r="G1280">
        <v>46.31</v>
      </c>
      <c r="H1280">
        <v>2</v>
      </c>
      <c r="I1280">
        <v>17.36</v>
      </c>
    </row>
    <row r="1281" spans="1:9" x14ac:dyDescent="0.35">
      <c r="A1281" t="s">
        <v>1523</v>
      </c>
      <c r="B1281" t="s">
        <v>1522</v>
      </c>
      <c r="C1281" t="s">
        <v>26</v>
      </c>
      <c r="D1281" t="s">
        <v>17</v>
      </c>
      <c r="E1281" t="s">
        <v>3</v>
      </c>
      <c r="F1281" t="s">
        <v>49</v>
      </c>
      <c r="G1281">
        <v>200.77</v>
      </c>
      <c r="H1281">
        <v>1</v>
      </c>
      <c r="I1281">
        <v>-31.25</v>
      </c>
    </row>
    <row r="1282" spans="1:9" x14ac:dyDescent="0.35">
      <c r="A1282" t="s">
        <v>1524</v>
      </c>
      <c r="B1282" t="s">
        <v>1522</v>
      </c>
      <c r="C1282" t="s">
        <v>22</v>
      </c>
      <c r="D1282" t="s">
        <v>38</v>
      </c>
      <c r="E1282" t="s">
        <v>4</v>
      </c>
      <c r="F1282" t="s">
        <v>24</v>
      </c>
      <c r="G1282">
        <v>233.36</v>
      </c>
      <c r="H1282">
        <v>3</v>
      </c>
      <c r="I1282">
        <v>60.1</v>
      </c>
    </row>
    <row r="1283" spans="1:9" x14ac:dyDescent="0.35">
      <c r="A1283" t="s">
        <v>1525</v>
      </c>
      <c r="B1283" t="s">
        <v>1522</v>
      </c>
      <c r="C1283" t="s">
        <v>16</v>
      </c>
      <c r="D1283" t="s">
        <v>17</v>
      </c>
      <c r="E1283" t="s">
        <v>4</v>
      </c>
      <c r="F1283" t="s">
        <v>39</v>
      </c>
      <c r="G1283">
        <v>36.770000000000003</v>
      </c>
      <c r="H1283">
        <v>5</v>
      </c>
      <c r="I1283">
        <v>9.3699999999999992</v>
      </c>
    </row>
    <row r="1284" spans="1:9" x14ac:dyDescent="0.35">
      <c r="A1284" t="s">
        <v>1526</v>
      </c>
      <c r="B1284" t="s">
        <v>1522</v>
      </c>
      <c r="C1284" t="s">
        <v>34</v>
      </c>
      <c r="D1284" t="s">
        <v>23</v>
      </c>
      <c r="E1284" t="s">
        <v>3</v>
      </c>
      <c r="F1284" t="s">
        <v>27</v>
      </c>
      <c r="G1284">
        <v>125.83</v>
      </c>
      <c r="H1284">
        <v>1</v>
      </c>
      <c r="I1284">
        <v>4.57</v>
      </c>
    </row>
    <row r="1285" spans="1:9" x14ac:dyDescent="0.35">
      <c r="A1285" t="s">
        <v>1527</v>
      </c>
      <c r="B1285" t="s">
        <v>1522</v>
      </c>
      <c r="C1285" t="s">
        <v>16</v>
      </c>
      <c r="D1285" t="s">
        <v>23</v>
      </c>
      <c r="E1285" t="s">
        <v>5</v>
      </c>
      <c r="F1285" t="s">
        <v>29</v>
      </c>
      <c r="G1285">
        <v>272.81</v>
      </c>
      <c r="H1285">
        <v>3</v>
      </c>
      <c r="I1285">
        <v>67.78</v>
      </c>
    </row>
    <row r="1286" spans="1:9" x14ac:dyDescent="0.35">
      <c r="A1286" t="s">
        <v>1528</v>
      </c>
      <c r="B1286" t="s">
        <v>1529</v>
      </c>
      <c r="C1286" t="s">
        <v>22</v>
      </c>
      <c r="D1286" t="s">
        <v>23</v>
      </c>
      <c r="E1286" t="s">
        <v>3</v>
      </c>
      <c r="F1286" t="s">
        <v>27</v>
      </c>
      <c r="G1286">
        <v>432.71</v>
      </c>
      <c r="H1286">
        <v>3</v>
      </c>
      <c r="I1286">
        <v>-149.47</v>
      </c>
    </row>
    <row r="1287" spans="1:9" x14ac:dyDescent="0.35">
      <c r="A1287" t="s">
        <v>1530</v>
      </c>
      <c r="B1287" t="s">
        <v>1529</v>
      </c>
      <c r="C1287" t="s">
        <v>26</v>
      </c>
      <c r="D1287" t="s">
        <v>38</v>
      </c>
      <c r="E1287" t="s">
        <v>3</v>
      </c>
      <c r="F1287" t="s">
        <v>18</v>
      </c>
      <c r="G1287">
        <v>128.08000000000001</v>
      </c>
      <c r="H1287">
        <v>5</v>
      </c>
      <c r="I1287">
        <v>-14.62</v>
      </c>
    </row>
    <row r="1288" spans="1:9" x14ac:dyDescent="0.35">
      <c r="A1288" t="s">
        <v>1531</v>
      </c>
      <c r="B1288" t="s">
        <v>1529</v>
      </c>
      <c r="C1288" t="s">
        <v>26</v>
      </c>
      <c r="D1288" t="s">
        <v>17</v>
      </c>
      <c r="E1288" t="s">
        <v>5</v>
      </c>
      <c r="F1288" t="s">
        <v>41</v>
      </c>
      <c r="G1288">
        <v>470.2</v>
      </c>
      <c r="H1288">
        <v>3</v>
      </c>
      <c r="I1288">
        <v>88.12</v>
      </c>
    </row>
    <row r="1289" spans="1:9" x14ac:dyDescent="0.35">
      <c r="A1289" t="s">
        <v>1532</v>
      </c>
      <c r="B1289" t="s">
        <v>1529</v>
      </c>
      <c r="C1289" t="s">
        <v>16</v>
      </c>
      <c r="D1289" t="s">
        <v>17</v>
      </c>
      <c r="E1289" t="s">
        <v>3</v>
      </c>
      <c r="F1289" t="s">
        <v>18</v>
      </c>
      <c r="G1289">
        <v>135.08000000000001</v>
      </c>
      <c r="H1289">
        <v>9</v>
      </c>
      <c r="I1289">
        <v>-19.97</v>
      </c>
    </row>
    <row r="1290" spans="1:9" x14ac:dyDescent="0.35">
      <c r="A1290" t="s">
        <v>1533</v>
      </c>
      <c r="B1290" t="s">
        <v>1529</v>
      </c>
      <c r="C1290" t="s">
        <v>26</v>
      </c>
      <c r="D1290" t="s">
        <v>38</v>
      </c>
      <c r="E1290" t="s">
        <v>5</v>
      </c>
      <c r="F1290" t="s">
        <v>41</v>
      </c>
      <c r="G1290">
        <v>95.18</v>
      </c>
      <c r="H1290">
        <v>1</v>
      </c>
      <c r="I1290">
        <v>24.96</v>
      </c>
    </row>
    <row r="1291" spans="1:9" x14ac:dyDescent="0.35">
      <c r="A1291" t="s">
        <v>1534</v>
      </c>
      <c r="B1291" t="s">
        <v>1529</v>
      </c>
      <c r="C1291" t="s">
        <v>22</v>
      </c>
      <c r="D1291" t="s">
        <v>17</v>
      </c>
      <c r="E1291" t="s">
        <v>5</v>
      </c>
      <c r="F1291" t="s">
        <v>31</v>
      </c>
      <c r="G1291">
        <v>302.77999999999997</v>
      </c>
      <c r="H1291">
        <v>4</v>
      </c>
      <c r="I1291">
        <v>63.01</v>
      </c>
    </row>
    <row r="1292" spans="1:9" x14ac:dyDescent="0.35">
      <c r="A1292" t="s">
        <v>1535</v>
      </c>
      <c r="B1292" t="s">
        <v>1536</v>
      </c>
      <c r="C1292" t="s">
        <v>16</v>
      </c>
      <c r="D1292" t="s">
        <v>23</v>
      </c>
      <c r="E1292" t="s">
        <v>3</v>
      </c>
      <c r="F1292" t="s">
        <v>49</v>
      </c>
      <c r="G1292">
        <v>121.88</v>
      </c>
      <c r="H1292">
        <v>4</v>
      </c>
      <c r="I1292">
        <v>-16.14</v>
      </c>
    </row>
    <row r="1293" spans="1:9" x14ac:dyDescent="0.35">
      <c r="A1293" t="s">
        <v>1537</v>
      </c>
      <c r="B1293" t="s">
        <v>1536</v>
      </c>
      <c r="C1293" t="s">
        <v>26</v>
      </c>
      <c r="D1293" t="s">
        <v>23</v>
      </c>
      <c r="E1293" t="s">
        <v>5</v>
      </c>
      <c r="F1293" t="s">
        <v>31</v>
      </c>
      <c r="G1293">
        <v>115.77</v>
      </c>
      <c r="H1293">
        <v>1</v>
      </c>
      <c r="I1293">
        <v>16.68</v>
      </c>
    </row>
    <row r="1294" spans="1:9" x14ac:dyDescent="0.35">
      <c r="A1294" t="s">
        <v>1538</v>
      </c>
      <c r="B1294" t="s">
        <v>1536</v>
      </c>
      <c r="C1294" t="s">
        <v>34</v>
      </c>
      <c r="D1294" t="s">
        <v>23</v>
      </c>
      <c r="E1294" t="s">
        <v>3</v>
      </c>
      <c r="F1294" t="s">
        <v>27</v>
      </c>
      <c r="G1294">
        <v>121.09</v>
      </c>
      <c r="H1294">
        <v>2</v>
      </c>
      <c r="I1294">
        <v>-14.72</v>
      </c>
    </row>
    <row r="1295" spans="1:9" x14ac:dyDescent="0.35">
      <c r="A1295" t="s">
        <v>1539</v>
      </c>
      <c r="B1295" t="s">
        <v>1536</v>
      </c>
      <c r="C1295" t="s">
        <v>34</v>
      </c>
      <c r="D1295" t="s">
        <v>38</v>
      </c>
      <c r="E1295" t="s">
        <v>4</v>
      </c>
      <c r="F1295" t="s">
        <v>20</v>
      </c>
      <c r="G1295">
        <v>301.39</v>
      </c>
      <c r="H1295">
        <v>1</v>
      </c>
      <c r="I1295">
        <v>79.010000000000005</v>
      </c>
    </row>
    <row r="1296" spans="1:9" x14ac:dyDescent="0.35">
      <c r="A1296" t="s">
        <v>1540</v>
      </c>
      <c r="B1296" t="s">
        <v>1536</v>
      </c>
      <c r="C1296" t="s">
        <v>22</v>
      </c>
      <c r="D1296" t="s">
        <v>38</v>
      </c>
      <c r="E1296" t="s">
        <v>4</v>
      </c>
      <c r="F1296" t="s">
        <v>20</v>
      </c>
      <c r="G1296">
        <v>287.52</v>
      </c>
      <c r="H1296">
        <v>6</v>
      </c>
      <c r="I1296">
        <v>24.12</v>
      </c>
    </row>
    <row r="1297" spans="1:9" x14ac:dyDescent="0.35">
      <c r="A1297" t="s">
        <v>1541</v>
      </c>
      <c r="B1297" t="s">
        <v>1536</v>
      </c>
      <c r="C1297" t="s">
        <v>26</v>
      </c>
      <c r="D1297" t="s">
        <v>23</v>
      </c>
      <c r="E1297" t="s">
        <v>5</v>
      </c>
      <c r="F1297" t="s">
        <v>29</v>
      </c>
      <c r="G1297">
        <v>97.51</v>
      </c>
      <c r="H1297">
        <v>3</v>
      </c>
      <c r="I1297">
        <v>19.36</v>
      </c>
    </row>
    <row r="1298" spans="1:9" x14ac:dyDescent="0.35">
      <c r="A1298" t="s">
        <v>1542</v>
      </c>
      <c r="B1298" t="s">
        <v>1543</v>
      </c>
      <c r="C1298" t="s">
        <v>22</v>
      </c>
      <c r="D1298" t="s">
        <v>17</v>
      </c>
      <c r="E1298" t="s">
        <v>5</v>
      </c>
      <c r="F1298" t="s">
        <v>29</v>
      </c>
      <c r="G1298">
        <v>80.81</v>
      </c>
      <c r="H1298">
        <v>7</v>
      </c>
      <c r="I1298">
        <v>16.510000000000002</v>
      </c>
    </row>
    <row r="1299" spans="1:9" x14ac:dyDescent="0.35">
      <c r="A1299" t="s">
        <v>1544</v>
      </c>
      <c r="B1299" t="s">
        <v>1543</v>
      </c>
      <c r="C1299" t="s">
        <v>16</v>
      </c>
      <c r="D1299" t="s">
        <v>38</v>
      </c>
      <c r="E1299" t="s">
        <v>5</v>
      </c>
      <c r="F1299" t="s">
        <v>41</v>
      </c>
      <c r="G1299">
        <v>121.57</v>
      </c>
      <c r="H1299">
        <v>5</v>
      </c>
      <c r="I1299">
        <v>34.51</v>
      </c>
    </row>
    <row r="1300" spans="1:9" x14ac:dyDescent="0.35">
      <c r="A1300" t="s">
        <v>1545</v>
      </c>
      <c r="B1300" t="s">
        <v>1543</v>
      </c>
      <c r="C1300" t="s">
        <v>34</v>
      </c>
      <c r="D1300" t="s">
        <v>17</v>
      </c>
      <c r="E1300" t="s">
        <v>4</v>
      </c>
      <c r="F1300" t="s">
        <v>39</v>
      </c>
      <c r="G1300">
        <v>147.57</v>
      </c>
      <c r="H1300">
        <v>9</v>
      </c>
      <c r="I1300">
        <v>28.87</v>
      </c>
    </row>
    <row r="1301" spans="1:9" x14ac:dyDescent="0.35">
      <c r="A1301" t="s">
        <v>1546</v>
      </c>
      <c r="B1301" t="s">
        <v>1543</v>
      </c>
      <c r="C1301" t="s">
        <v>16</v>
      </c>
      <c r="D1301" t="s">
        <v>17</v>
      </c>
      <c r="E1301" t="s">
        <v>4</v>
      </c>
      <c r="F1301" t="s">
        <v>39</v>
      </c>
      <c r="G1301">
        <v>60.84</v>
      </c>
      <c r="H1301">
        <v>7</v>
      </c>
      <c r="I1301">
        <v>-9.4</v>
      </c>
    </row>
    <row r="1302" spans="1:9" x14ac:dyDescent="0.35">
      <c r="A1302" t="s">
        <v>1547</v>
      </c>
      <c r="B1302" t="s">
        <v>1543</v>
      </c>
      <c r="C1302" t="s">
        <v>26</v>
      </c>
      <c r="D1302" t="s">
        <v>38</v>
      </c>
      <c r="E1302" t="s">
        <v>5</v>
      </c>
      <c r="F1302" t="s">
        <v>31</v>
      </c>
      <c r="G1302">
        <v>256.95</v>
      </c>
      <c r="H1302">
        <v>4</v>
      </c>
      <c r="I1302">
        <v>90.49</v>
      </c>
    </row>
    <row r="1303" spans="1:9" x14ac:dyDescent="0.35">
      <c r="A1303" t="s">
        <v>1548</v>
      </c>
      <c r="B1303" t="s">
        <v>1543</v>
      </c>
      <c r="C1303" t="s">
        <v>22</v>
      </c>
      <c r="D1303" t="s">
        <v>17</v>
      </c>
      <c r="E1303" t="s">
        <v>4</v>
      </c>
      <c r="F1303" t="s">
        <v>39</v>
      </c>
      <c r="G1303">
        <v>119.97</v>
      </c>
      <c r="H1303">
        <v>5</v>
      </c>
      <c r="I1303">
        <v>35.229999999999997</v>
      </c>
    </row>
    <row r="1304" spans="1:9" x14ac:dyDescent="0.35">
      <c r="A1304" t="s">
        <v>1549</v>
      </c>
      <c r="B1304" t="s">
        <v>1550</v>
      </c>
      <c r="C1304" t="s">
        <v>22</v>
      </c>
      <c r="D1304" t="s">
        <v>17</v>
      </c>
      <c r="E1304" t="s">
        <v>5</v>
      </c>
      <c r="F1304" t="s">
        <v>41</v>
      </c>
      <c r="G1304">
        <v>80.98</v>
      </c>
      <c r="H1304">
        <v>5</v>
      </c>
      <c r="I1304">
        <v>11.74</v>
      </c>
    </row>
    <row r="1305" spans="1:9" x14ac:dyDescent="0.35">
      <c r="A1305" t="s">
        <v>1551</v>
      </c>
      <c r="B1305" t="s">
        <v>1550</v>
      </c>
      <c r="C1305" t="s">
        <v>22</v>
      </c>
      <c r="D1305" t="s">
        <v>17</v>
      </c>
      <c r="E1305" t="s">
        <v>3</v>
      </c>
      <c r="F1305" t="s">
        <v>49</v>
      </c>
      <c r="G1305">
        <v>36.950000000000003</v>
      </c>
      <c r="H1305">
        <v>5</v>
      </c>
      <c r="I1305">
        <v>-5.44</v>
      </c>
    </row>
    <row r="1306" spans="1:9" x14ac:dyDescent="0.35">
      <c r="A1306" t="s">
        <v>1552</v>
      </c>
      <c r="B1306" t="s">
        <v>1550</v>
      </c>
      <c r="C1306" t="s">
        <v>16</v>
      </c>
      <c r="D1306" t="s">
        <v>38</v>
      </c>
      <c r="E1306" t="s">
        <v>4</v>
      </c>
      <c r="F1306" t="s">
        <v>20</v>
      </c>
      <c r="G1306">
        <v>60.94</v>
      </c>
      <c r="H1306">
        <v>9</v>
      </c>
      <c r="I1306">
        <v>6.4</v>
      </c>
    </row>
    <row r="1307" spans="1:9" x14ac:dyDescent="0.35">
      <c r="A1307" t="s">
        <v>1553</v>
      </c>
      <c r="B1307" t="s">
        <v>1550</v>
      </c>
      <c r="C1307" t="s">
        <v>34</v>
      </c>
      <c r="D1307" t="s">
        <v>23</v>
      </c>
      <c r="E1307" t="s">
        <v>4</v>
      </c>
      <c r="F1307" t="s">
        <v>39</v>
      </c>
      <c r="G1307">
        <v>467.22</v>
      </c>
      <c r="H1307">
        <v>3</v>
      </c>
      <c r="I1307">
        <v>34.76</v>
      </c>
    </row>
    <row r="1308" spans="1:9" x14ac:dyDescent="0.35">
      <c r="A1308" t="s">
        <v>1554</v>
      </c>
      <c r="B1308" t="s">
        <v>1550</v>
      </c>
      <c r="C1308" t="s">
        <v>16</v>
      </c>
      <c r="D1308" t="s">
        <v>23</v>
      </c>
      <c r="E1308" t="s">
        <v>4</v>
      </c>
      <c r="F1308" t="s">
        <v>24</v>
      </c>
      <c r="G1308">
        <v>74.599999999999994</v>
      </c>
      <c r="H1308">
        <v>6</v>
      </c>
      <c r="I1308">
        <v>12.86</v>
      </c>
    </row>
    <row r="1309" spans="1:9" x14ac:dyDescent="0.35">
      <c r="A1309" t="s">
        <v>1555</v>
      </c>
      <c r="B1309" t="s">
        <v>1550</v>
      </c>
      <c r="C1309" t="s">
        <v>16</v>
      </c>
      <c r="D1309" t="s">
        <v>17</v>
      </c>
      <c r="E1309" t="s">
        <v>4</v>
      </c>
      <c r="F1309" t="s">
        <v>20</v>
      </c>
      <c r="G1309">
        <v>47.74</v>
      </c>
      <c r="H1309">
        <v>8</v>
      </c>
      <c r="I1309">
        <v>-2.13</v>
      </c>
    </row>
    <row r="1310" spans="1:9" x14ac:dyDescent="0.35">
      <c r="A1310" t="s">
        <v>1556</v>
      </c>
      <c r="B1310" t="s">
        <v>1557</v>
      </c>
      <c r="C1310" t="s">
        <v>26</v>
      </c>
      <c r="D1310" t="s">
        <v>23</v>
      </c>
      <c r="E1310" t="s">
        <v>3</v>
      </c>
      <c r="F1310" t="s">
        <v>27</v>
      </c>
      <c r="G1310">
        <v>112.61</v>
      </c>
      <c r="H1310">
        <v>9</v>
      </c>
      <c r="I1310">
        <v>-18.22</v>
      </c>
    </row>
    <row r="1311" spans="1:9" x14ac:dyDescent="0.35">
      <c r="A1311" t="s">
        <v>1558</v>
      </c>
      <c r="B1311" t="s">
        <v>1557</v>
      </c>
      <c r="C1311" t="s">
        <v>26</v>
      </c>
      <c r="D1311" t="s">
        <v>23</v>
      </c>
      <c r="E1311" t="s">
        <v>4</v>
      </c>
      <c r="F1311" t="s">
        <v>39</v>
      </c>
      <c r="G1311">
        <v>75.03</v>
      </c>
      <c r="H1311">
        <v>7</v>
      </c>
      <c r="I1311">
        <v>22.8</v>
      </c>
    </row>
    <row r="1312" spans="1:9" x14ac:dyDescent="0.35">
      <c r="A1312" t="s">
        <v>1559</v>
      </c>
      <c r="B1312" t="s">
        <v>1557</v>
      </c>
      <c r="C1312" t="s">
        <v>26</v>
      </c>
      <c r="D1312" t="s">
        <v>17</v>
      </c>
      <c r="E1312" t="s">
        <v>5</v>
      </c>
      <c r="F1312" t="s">
        <v>29</v>
      </c>
      <c r="G1312">
        <v>25.37</v>
      </c>
      <c r="H1312">
        <v>3</v>
      </c>
      <c r="I1312">
        <v>3.99</v>
      </c>
    </row>
    <row r="1313" spans="1:9" x14ac:dyDescent="0.35">
      <c r="A1313" t="s">
        <v>1560</v>
      </c>
      <c r="B1313" t="s">
        <v>1557</v>
      </c>
      <c r="C1313" t="s">
        <v>34</v>
      </c>
      <c r="D1313" t="s">
        <v>17</v>
      </c>
      <c r="E1313" t="s">
        <v>4</v>
      </c>
      <c r="F1313" t="s">
        <v>24</v>
      </c>
      <c r="G1313">
        <v>78.540000000000006</v>
      </c>
      <c r="H1313">
        <v>1</v>
      </c>
      <c r="I1313">
        <v>21.55</v>
      </c>
    </row>
    <row r="1314" spans="1:9" x14ac:dyDescent="0.35">
      <c r="A1314" t="s">
        <v>1561</v>
      </c>
      <c r="B1314" t="s">
        <v>1557</v>
      </c>
      <c r="C1314" t="s">
        <v>34</v>
      </c>
      <c r="D1314" t="s">
        <v>17</v>
      </c>
      <c r="E1314" t="s">
        <v>3</v>
      </c>
      <c r="F1314" t="s">
        <v>49</v>
      </c>
      <c r="G1314">
        <v>137.83000000000001</v>
      </c>
      <c r="H1314">
        <v>4</v>
      </c>
      <c r="I1314">
        <v>-1.99</v>
      </c>
    </row>
    <row r="1315" spans="1:9" x14ac:dyDescent="0.35">
      <c r="A1315" t="s">
        <v>1562</v>
      </c>
      <c r="B1315" t="s">
        <v>1557</v>
      </c>
      <c r="C1315" t="s">
        <v>26</v>
      </c>
      <c r="D1315" t="s">
        <v>38</v>
      </c>
      <c r="E1315" t="s">
        <v>4</v>
      </c>
      <c r="F1315" t="s">
        <v>24</v>
      </c>
      <c r="G1315">
        <v>140.35</v>
      </c>
      <c r="H1315">
        <v>6</v>
      </c>
      <c r="I1315">
        <v>-4.34</v>
      </c>
    </row>
    <row r="1316" spans="1:9" x14ac:dyDescent="0.35">
      <c r="A1316" t="s">
        <v>1563</v>
      </c>
      <c r="B1316" t="s">
        <v>1564</v>
      </c>
      <c r="C1316" t="s">
        <v>26</v>
      </c>
      <c r="D1316" t="s">
        <v>23</v>
      </c>
      <c r="E1316" t="s">
        <v>3</v>
      </c>
      <c r="F1316" t="s">
        <v>27</v>
      </c>
      <c r="G1316">
        <v>86.14</v>
      </c>
      <c r="H1316">
        <v>3</v>
      </c>
      <c r="I1316">
        <v>1.17</v>
      </c>
    </row>
    <row r="1317" spans="1:9" x14ac:dyDescent="0.35">
      <c r="A1317" t="s">
        <v>1565</v>
      </c>
      <c r="B1317" t="s">
        <v>1564</v>
      </c>
      <c r="C1317" t="s">
        <v>34</v>
      </c>
      <c r="D1317" t="s">
        <v>38</v>
      </c>
      <c r="E1317" t="s">
        <v>4</v>
      </c>
      <c r="F1317" t="s">
        <v>24</v>
      </c>
      <c r="G1317">
        <v>108.94</v>
      </c>
      <c r="H1317">
        <v>1</v>
      </c>
      <c r="I1317">
        <v>15.06</v>
      </c>
    </row>
    <row r="1318" spans="1:9" x14ac:dyDescent="0.35">
      <c r="A1318" t="s">
        <v>1566</v>
      </c>
      <c r="B1318" t="s">
        <v>1564</v>
      </c>
      <c r="C1318" t="s">
        <v>22</v>
      </c>
      <c r="D1318" t="s">
        <v>17</v>
      </c>
      <c r="E1318" t="s">
        <v>3</v>
      </c>
      <c r="F1318" t="s">
        <v>49</v>
      </c>
      <c r="G1318">
        <v>525.1</v>
      </c>
      <c r="H1318">
        <v>6</v>
      </c>
      <c r="I1318">
        <v>-50.17</v>
      </c>
    </row>
    <row r="1319" spans="1:9" x14ac:dyDescent="0.35">
      <c r="A1319" t="s">
        <v>1567</v>
      </c>
      <c r="B1319" t="s">
        <v>1564</v>
      </c>
      <c r="C1319" t="s">
        <v>34</v>
      </c>
      <c r="D1319" t="s">
        <v>23</v>
      </c>
      <c r="E1319" t="s">
        <v>4</v>
      </c>
      <c r="F1319" t="s">
        <v>39</v>
      </c>
      <c r="G1319">
        <v>91.07</v>
      </c>
      <c r="H1319">
        <v>1</v>
      </c>
      <c r="I1319">
        <v>15.89</v>
      </c>
    </row>
    <row r="1320" spans="1:9" x14ac:dyDescent="0.35">
      <c r="A1320" t="s">
        <v>1568</v>
      </c>
      <c r="B1320" t="s">
        <v>1564</v>
      </c>
      <c r="C1320" t="s">
        <v>34</v>
      </c>
      <c r="D1320" t="s">
        <v>23</v>
      </c>
      <c r="E1320" t="s">
        <v>5</v>
      </c>
      <c r="F1320" t="s">
        <v>31</v>
      </c>
      <c r="G1320">
        <v>64.81</v>
      </c>
      <c r="H1320">
        <v>9</v>
      </c>
      <c r="I1320">
        <v>19.28</v>
      </c>
    </row>
    <row r="1321" spans="1:9" x14ac:dyDescent="0.35">
      <c r="A1321" t="s">
        <v>1569</v>
      </c>
      <c r="B1321" t="s">
        <v>1564</v>
      </c>
      <c r="C1321" t="s">
        <v>34</v>
      </c>
      <c r="D1321" t="s">
        <v>23</v>
      </c>
      <c r="E1321" t="s">
        <v>5</v>
      </c>
      <c r="F1321" t="s">
        <v>29</v>
      </c>
      <c r="G1321">
        <v>61.85</v>
      </c>
      <c r="H1321">
        <v>1</v>
      </c>
      <c r="I1321">
        <v>19.84</v>
      </c>
    </row>
    <row r="1322" spans="1:9" x14ac:dyDescent="0.35">
      <c r="A1322" t="s">
        <v>1570</v>
      </c>
      <c r="B1322" t="s">
        <v>1571</v>
      </c>
      <c r="C1322" t="s">
        <v>26</v>
      </c>
      <c r="D1322" t="s">
        <v>38</v>
      </c>
      <c r="E1322" t="s">
        <v>5</v>
      </c>
      <c r="F1322" t="s">
        <v>29</v>
      </c>
      <c r="G1322">
        <v>111.81</v>
      </c>
      <c r="H1322">
        <v>6</v>
      </c>
      <c r="I1322">
        <v>41.13</v>
      </c>
    </row>
    <row r="1323" spans="1:9" x14ac:dyDescent="0.35">
      <c r="A1323" t="s">
        <v>1572</v>
      </c>
      <c r="B1323" t="s">
        <v>1571</v>
      </c>
      <c r="C1323" t="s">
        <v>22</v>
      </c>
      <c r="D1323" t="s">
        <v>17</v>
      </c>
      <c r="E1323" t="s">
        <v>5</v>
      </c>
      <c r="F1323" t="s">
        <v>41</v>
      </c>
      <c r="G1323">
        <v>233.77</v>
      </c>
      <c r="H1323">
        <v>1</v>
      </c>
      <c r="I1323">
        <v>67.98</v>
      </c>
    </row>
    <row r="1324" spans="1:9" x14ac:dyDescent="0.35">
      <c r="A1324" t="s">
        <v>1573</v>
      </c>
      <c r="B1324" t="s">
        <v>1571</v>
      </c>
      <c r="C1324" t="s">
        <v>34</v>
      </c>
      <c r="D1324" t="s">
        <v>17</v>
      </c>
      <c r="E1324" t="s">
        <v>4</v>
      </c>
      <c r="F1324" t="s">
        <v>39</v>
      </c>
      <c r="G1324">
        <v>54.6</v>
      </c>
      <c r="H1324">
        <v>7</v>
      </c>
      <c r="I1324">
        <v>0.68</v>
      </c>
    </row>
    <row r="1325" spans="1:9" x14ac:dyDescent="0.35">
      <c r="A1325" t="s">
        <v>1574</v>
      </c>
      <c r="B1325" t="s">
        <v>1571</v>
      </c>
      <c r="C1325" t="s">
        <v>26</v>
      </c>
      <c r="D1325" t="s">
        <v>23</v>
      </c>
      <c r="E1325" t="s">
        <v>5</v>
      </c>
      <c r="F1325" t="s">
        <v>41</v>
      </c>
      <c r="G1325">
        <v>205.32</v>
      </c>
      <c r="H1325">
        <v>3</v>
      </c>
      <c r="I1325">
        <v>41.61</v>
      </c>
    </row>
    <row r="1326" spans="1:9" x14ac:dyDescent="0.35">
      <c r="A1326" t="s">
        <v>1575</v>
      </c>
      <c r="B1326" t="s">
        <v>1571</v>
      </c>
      <c r="C1326" t="s">
        <v>16</v>
      </c>
      <c r="D1326" t="s">
        <v>23</v>
      </c>
      <c r="E1326" t="s">
        <v>4</v>
      </c>
      <c r="F1326" t="s">
        <v>39</v>
      </c>
      <c r="G1326">
        <v>23.21</v>
      </c>
      <c r="H1326">
        <v>6</v>
      </c>
      <c r="I1326">
        <v>10.31</v>
      </c>
    </row>
    <row r="1327" spans="1:9" x14ac:dyDescent="0.35">
      <c r="A1327" t="s">
        <v>1576</v>
      </c>
      <c r="B1327" t="s">
        <v>1571</v>
      </c>
      <c r="C1327" t="s">
        <v>16</v>
      </c>
      <c r="D1327" t="s">
        <v>23</v>
      </c>
      <c r="E1327" t="s">
        <v>3</v>
      </c>
      <c r="F1327" t="s">
        <v>49</v>
      </c>
      <c r="G1327">
        <v>101.43</v>
      </c>
      <c r="H1327">
        <v>7</v>
      </c>
      <c r="I1327">
        <v>2.2799999999999998</v>
      </c>
    </row>
    <row r="1328" spans="1:9" x14ac:dyDescent="0.35">
      <c r="A1328" t="s">
        <v>1577</v>
      </c>
      <c r="B1328" t="s">
        <v>1578</v>
      </c>
      <c r="C1328" t="s">
        <v>34</v>
      </c>
      <c r="D1328" t="s">
        <v>17</v>
      </c>
      <c r="E1328" t="s">
        <v>5</v>
      </c>
      <c r="F1328" t="s">
        <v>29</v>
      </c>
      <c r="G1328">
        <v>244.33</v>
      </c>
      <c r="H1328">
        <v>1</v>
      </c>
      <c r="I1328">
        <v>118.97</v>
      </c>
    </row>
    <row r="1329" spans="1:9" x14ac:dyDescent="0.35">
      <c r="A1329" t="s">
        <v>1579</v>
      </c>
      <c r="B1329" t="s">
        <v>1578</v>
      </c>
      <c r="C1329" t="s">
        <v>16</v>
      </c>
      <c r="D1329" t="s">
        <v>23</v>
      </c>
      <c r="E1329" t="s">
        <v>4</v>
      </c>
      <c r="F1329" t="s">
        <v>39</v>
      </c>
      <c r="G1329">
        <v>82.04</v>
      </c>
      <c r="H1329">
        <v>1</v>
      </c>
      <c r="I1329">
        <v>23.75</v>
      </c>
    </row>
    <row r="1330" spans="1:9" x14ac:dyDescent="0.35">
      <c r="A1330" t="s">
        <v>1580</v>
      </c>
      <c r="B1330" t="s">
        <v>1578</v>
      </c>
      <c r="C1330" t="s">
        <v>22</v>
      </c>
      <c r="D1330" t="s">
        <v>17</v>
      </c>
      <c r="E1330" t="s">
        <v>4</v>
      </c>
      <c r="F1330" t="s">
        <v>24</v>
      </c>
      <c r="G1330">
        <v>144.43</v>
      </c>
      <c r="H1330">
        <v>5</v>
      </c>
      <c r="I1330">
        <v>25.16</v>
      </c>
    </row>
    <row r="1331" spans="1:9" x14ac:dyDescent="0.35">
      <c r="A1331" t="s">
        <v>1581</v>
      </c>
      <c r="B1331" t="s">
        <v>1578</v>
      </c>
      <c r="C1331" t="s">
        <v>16</v>
      </c>
      <c r="D1331" t="s">
        <v>17</v>
      </c>
      <c r="E1331" t="s">
        <v>3</v>
      </c>
      <c r="F1331" t="s">
        <v>27</v>
      </c>
      <c r="G1331">
        <v>54.41</v>
      </c>
      <c r="H1331">
        <v>6</v>
      </c>
      <c r="I1331">
        <v>-1.08</v>
      </c>
    </row>
    <row r="1332" spans="1:9" x14ac:dyDescent="0.35">
      <c r="A1332" t="s">
        <v>1582</v>
      </c>
      <c r="B1332" t="s">
        <v>1578</v>
      </c>
      <c r="C1332" t="s">
        <v>16</v>
      </c>
      <c r="D1332" t="s">
        <v>23</v>
      </c>
      <c r="E1332" t="s">
        <v>3</v>
      </c>
      <c r="F1332" t="s">
        <v>18</v>
      </c>
      <c r="G1332">
        <v>223.22</v>
      </c>
      <c r="H1332">
        <v>9</v>
      </c>
      <c r="I1332">
        <v>-11.98</v>
      </c>
    </row>
    <row r="1333" spans="1:9" x14ac:dyDescent="0.35">
      <c r="A1333" t="s">
        <v>1583</v>
      </c>
      <c r="B1333" t="s">
        <v>1578</v>
      </c>
      <c r="C1333" t="s">
        <v>22</v>
      </c>
      <c r="D1333" t="s">
        <v>23</v>
      </c>
      <c r="E1333" t="s">
        <v>4</v>
      </c>
      <c r="F1333" t="s">
        <v>24</v>
      </c>
      <c r="G1333">
        <v>28.05</v>
      </c>
      <c r="H1333">
        <v>1</v>
      </c>
      <c r="I1333">
        <v>-0.67</v>
      </c>
    </row>
    <row r="1334" spans="1:9" x14ac:dyDescent="0.35">
      <c r="A1334" t="s">
        <v>1584</v>
      </c>
      <c r="B1334" t="s">
        <v>1585</v>
      </c>
      <c r="C1334" t="s">
        <v>34</v>
      </c>
      <c r="D1334" t="s">
        <v>17</v>
      </c>
      <c r="E1334" t="s">
        <v>5</v>
      </c>
      <c r="F1334" t="s">
        <v>29</v>
      </c>
      <c r="G1334">
        <v>307.13</v>
      </c>
      <c r="H1334">
        <v>4</v>
      </c>
      <c r="I1334">
        <v>77.34</v>
      </c>
    </row>
    <row r="1335" spans="1:9" x14ac:dyDescent="0.35">
      <c r="A1335" t="s">
        <v>1586</v>
      </c>
      <c r="B1335" t="s">
        <v>1585</v>
      </c>
      <c r="C1335" t="s">
        <v>34</v>
      </c>
      <c r="D1335" t="s">
        <v>17</v>
      </c>
      <c r="E1335" t="s">
        <v>4</v>
      </c>
      <c r="F1335" t="s">
        <v>20</v>
      </c>
      <c r="G1335">
        <v>53.13</v>
      </c>
      <c r="H1335">
        <v>8</v>
      </c>
      <c r="I1335">
        <v>14.4</v>
      </c>
    </row>
    <row r="1336" spans="1:9" x14ac:dyDescent="0.35">
      <c r="A1336" t="s">
        <v>1587</v>
      </c>
      <c r="B1336" t="s">
        <v>1585</v>
      </c>
      <c r="C1336" t="s">
        <v>22</v>
      </c>
      <c r="D1336" t="s">
        <v>17</v>
      </c>
      <c r="E1336" t="s">
        <v>4</v>
      </c>
      <c r="F1336" t="s">
        <v>24</v>
      </c>
      <c r="G1336">
        <v>331.2</v>
      </c>
      <c r="H1336">
        <v>9</v>
      </c>
      <c r="I1336">
        <v>29.82</v>
      </c>
    </row>
    <row r="1337" spans="1:9" x14ac:dyDescent="0.35">
      <c r="A1337" t="s">
        <v>1588</v>
      </c>
      <c r="B1337" t="s">
        <v>1585</v>
      </c>
      <c r="C1337" t="s">
        <v>22</v>
      </c>
      <c r="D1337" t="s">
        <v>17</v>
      </c>
      <c r="E1337" t="s">
        <v>4</v>
      </c>
      <c r="F1337" t="s">
        <v>39</v>
      </c>
      <c r="G1337">
        <v>85.2</v>
      </c>
      <c r="H1337">
        <v>3</v>
      </c>
      <c r="I1337">
        <v>16.29</v>
      </c>
    </row>
    <row r="1338" spans="1:9" x14ac:dyDescent="0.35">
      <c r="A1338" t="s">
        <v>1589</v>
      </c>
      <c r="B1338" t="s">
        <v>1585</v>
      </c>
      <c r="C1338" t="s">
        <v>22</v>
      </c>
      <c r="D1338" t="s">
        <v>23</v>
      </c>
      <c r="E1338" t="s">
        <v>5</v>
      </c>
      <c r="F1338" t="s">
        <v>31</v>
      </c>
      <c r="G1338">
        <v>212.39</v>
      </c>
      <c r="H1338">
        <v>2</v>
      </c>
      <c r="I1338">
        <v>71.180000000000007</v>
      </c>
    </row>
    <row r="1339" spans="1:9" x14ac:dyDescent="0.35">
      <c r="A1339" t="s">
        <v>1590</v>
      </c>
      <c r="B1339" t="s">
        <v>1585</v>
      </c>
      <c r="C1339" t="s">
        <v>16</v>
      </c>
      <c r="D1339" t="s">
        <v>38</v>
      </c>
      <c r="E1339" t="s">
        <v>4</v>
      </c>
      <c r="F1339" t="s">
        <v>24</v>
      </c>
      <c r="G1339">
        <v>77.680000000000007</v>
      </c>
      <c r="H1339">
        <v>4</v>
      </c>
      <c r="I1339">
        <v>4.59</v>
      </c>
    </row>
    <row r="1340" spans="1:9" x14ac:dyDescent="0.35">
      <c r="A1340" t="s">
        <v>1591</v>
      </c>
      <c r="B1340" t="s">
        <v>1592</v>
      </c>
      <c r="C1340" t="s">
        <v>22</v>
      </c>
      <c r="D1340" t="s">
        <v>17</v>
      </c>
      <c r="E1340" t="s">
        <v>5</v>
      </c>
      <c r="F1340" t="s">
        <v>29</v>
      </c>
      <c r="G1340">
        <v>374.53</v>
      </c>
      <c r="H1340">
        <v>2</v>
      </c>
      <c r="I1340">
        <v>76.73</v>
      </c>
    </row>
    <row r="1341" spans="1:9" x14ac:dyDescent="0.35">
      <c r="A1341" t="s">
        <v>1593</v>
      </c>
      <c r="B1341" t="s">
        <v>1592</v>
      </c>
      <c r="C1341" t="s">
        <v>26</v>
      </c>
      <c r="D1341" t="s">
        <v>23</v>
      </c>
      <c r="E1341" t="s">
        <v>5</v>
      </c>
      <c r="F1341" t="s">
        <v>31</v>
      </c>
      <c r="G1341">
        <v>40.31</v>
      </c>
      <c r="H1341">
        <v>1</v>
      </c>
      <c r="I1341">
        <v>5.97</v>
      </c>
    </row>
    <row r="1342" spans="1:9" x14ac:dyDescent="0.35">
      <c r="A1342" t="s">
        <v>1594</v>
      </c>
      <c r="B1342" t="s">
        <v>1592</v>
      </c>
      <c r="C1342" t="s">
        <v>16</v>
      </c>
      <c r="D1342" t="s">
        <v>38</v>
      </c>
      <c r="E1342" t="s">
        <v>5</v>
      </c>
      <c r="F1342" t="s">
        <v>29</v>
      </c>
      <c r="G1342">
        <v>49.5</v>
      </c>
      <c r="H1342">
        <v>3</v>
      </c>
      <c r="I1342">
        <v>8.31</v>
      </c>
    </row>
    <row r="1343" spans="1:9" x14ac:dyDescent="0.35">
      <c r="A1343" t="s">
        <v>1595</v>
      </c>
      <c r="B1343" t="s">
        <v>1592</v>
      </c>
      <c r="C1343" t="s">
        <v>34</v>
      </c>
      <c r="D1343" t="s">
        <v>38</v>
      </c>
      <c r="E1343" t="s">
        <v>3</v>
      </c>
      <c r="F1343" t="s">
        <v>49</v>
      </c>
      <c r="G1343">
        <v>121.9</v>
      </c>
      <c r="H1343">
        <v>7</v>
      </c>
      <c r="I1343">
        <v>-21.79</v>
      </c>
    </row>
    <row r="1344" spans="1:9" x14ac:dyDescent="0.35">
      <c r="A1344" t="s">
        <v>1596</v>
      </c>
      <c r="B1344" t="s">
        <v>1592</v>
      </c>
      <c r="C1344" t="s">
        <v>34</v>
      </c>
      <c r="D1344" t="s">
        <v>17</v>
      </c>
      <c r="E1344" t="s">
        <v>4</v>
      </c>
      <c r="F1344" t="s">
        <v>39</v>
      </c>
      <c r="G1344">
        <v>32.82</v>
      </c>
      <c r="H1344">
        <v>1</v>
      </c>
      <c r="I1344">
        <v>1.97</v>
      </c>
    </row>
    <row r="1345" spans="1:9" x14ac:dyDescent="0.35">
      <c r="A1345" t="s">
        <v>1597</v>
      </c>
      <c r="B1345" t="s">
        <v>1592</v>
      </c>
      <c r="C1345" t="s">
        <v>34</v>
      </c>
      <c r="D1345" t="s">
        <v>38</v>
      </c>
      <c r="E1345" t="s">
        <v>4</v>
      </c>
      <c r="F1345" t="s">
        <v>39</v>
      </c>
      <c r="G1345">
        <v>52.72</v>
      </c>
      <c r="H1345">
        <v>2</v>
      </c>
      <c r="I1345">
        <v>15.39</v>
      </c>
    </row>
    <row r="1346" spans="1:9" x14ac:dyDescent="0.35">
      <c r="A1346" t="s">
        <v>1598</v>
      </c>
      <c r="B1346" t="s">
        <v>1599</v>
      </c>
      <c r="C1346" t="s">
        <v>16</v>
      </c>
      <c r="D1346" t="s">
        <v>17</v>
      </c>
      <c r="E1346" t="s">
        <v>4</v>
      </c>
      <c r="F1346" t="s">
        <v>24</v>
      </c>
      <c r="G1346">
        <v>451.74</v>
      </c>
      <c r="H1346">
        <v>1</v>
      </c>
      <c r="I1346">
        <v>26.41</v>
      </c>
    </row>
    <row r="1347" spans="1:9" x14ac:dyDescent="0.35">
      <c r="A1347" t="s">
        <v>1600</v>
      </c>
      <c r="B1347" t="s">
        <v>1599</v>
      </c>
      <c r="C1347" t="s">
        <v>26</v>
      </c>
      <c r="D1347" t="s">
        <v>17</v>
      </c>
      <c r="E1347" t="s">
        <v>3</v>
      </c>
      <c r="F1347" t="s">
        <v>18</v>
      </c>
      <c r="G1347">
        <v>582.54999999999995</v>
      </c>
      <c r="H1347">
        <v>8</v>
      </c>
      <c r="I1347">
        <v>-21.76</v>
      </c>
    </row>
    <row r="1348" spans="1:9" x14ac:dyDescent="0.35">
      <c r="A1348" t="s">
        <v>1601</v>
      </c>
      <c r="B1348" t="s">
        <v>1599</v>
      </c>
      <c r="C1348" t="s">
        <v>22</v>
      </c>
      <c r="D1348" t="s">
        <v>17</v>
      </c>
      <c r="E1348" t="s">
        <v>3</v>
      </c>
      <c r="F1348" t="s">
        <v>49</v>
      </c>
      <c r="G1348">
        <v>90.8</v>
      </c>
      <c r="H1348">
        <v>5</v>
      </c>
      <c r="I1348">
        <v>-9.11</v>
      </c>
    </row>
    <row r="1349" spans="1:9" x14ac:dyDescent="0.35">
      <c r="A1349" t="s">
        <v>1602</v>
      </c>
      <c r="B1349" t="s">
        <v>1599</v>
      </c>
      <c r="C1349" t="s">
        <v>22</v>
      </c>
      <c r="D1349" t="s">
        <v>17</v>
      </c>
      <c r="E1349" t="s">
        <v>3</v>
      </c>
      <c r="F1349" t="s">
        <v>18</v>
      </c>
      <c r="G1349">
        <v>405.15</v>
      </c>
      <c r="H1349">
        <v>8</v>
      </c>
      <c r="I1349">
        <v>27.5</v>
      </c>
    </row>
    <row r="1350" spans="1:9" x14ac:dyDescent="0.35">
      <c r="A1350" t="s">
        <v>1603</v>
      </c>
      <c r="B1350" t="s">
        <v>1599</v>
      </c>
      <c r="C1350" t="s">
        <v>34</v>
      </c>
      <c r="D1350" t="s">
        <v>17</v>
      </c>
      <c r="E1350" t="s">
        <v>4</v>
      </c>
      <c r="F1350" t="s">
        <v>20</v>
      </c>
      <c r="G1350">
        <v>138.06</v>
      </c>
      <c r="H1350">
        <v>3</v>
      </c>
      <c r="I1350">
        <v>38.81</v>
      </c>
    </row>
    <row r="1351" spans="1:9" x14ac:dyDescent="0.35">
      <c r="A1351" t="s">
        <v>1604</v>
      </c>
      <c r="B1351" t="s">
        <v>1599</v>
      </c>
      <c r="C1351" t="s">
        <v>34</v>
      </c>
      <c r="D1351" t="s">
        <v>17</v>
      </c>
      <c r="E1351" t="s">
        <v>5</v>
      </c>
      <c r="F1351" t="s">
        <v>41</v>
      </c>
      <c r="G1351">
        <v>67.150000000000006</v>
      </c>
      <c r="H1351">
        <v>7</v>
      </c>
      <c r="I1351">
        <v>22.59</v>
      </c>
    </row>
    <row r="1352" spans="1:9" x14ac:dyDescent="0.35">
      <c r="A1352" t="s">
        <v>1605</v>
      </c>
      <c r="B1352" t="s">
        <v>1606</v>
      </c>
      <c r="C1352" t="s">
        <v>16</v>
      </c>
      <c r="D1352" t="s">
        <v>17</v>
      </c>
      <c r="E1352" t="s">
        <v>4</v>
      </c>
      <c r="F1352" t="s">
        <v>39</v>
      </c>
      <c r="G1352">
        <v>201.8</v>
      </c>
      <c r="H1352">
        <v>8</v>
      </c>
      <c r="I1352">
        <v>36.450000000000003</v>
      </c>
    </row>
    <row r="1353" spans="1:9" x14ac:dyDescent="0.35">
      <c r="A1353" t="s">
        <v>1607</v>
      </c>
      <c r="B1353" t="s">
        <v>1606</v>
      </c>
      <c r="C1353" t="s">
        <v>26</v>
      </c>
      <c r="D1353" t="s">
        <v>38</v>
      </c>
      <c r="E1353" t="s">
        <v>3</v>
      </c>
      <c r="F1353" t="s">
        <v>18</v>
      </c>
      <c r="G1353">
        <v>181.34</v>
      </c>
      <c r="H1353">
        <v>6</v>
      </c>
      <c r="I1353">
        <v>-13.26</v>
      </c>
    </row>
    <row r="1354" spans="1:9" x14ac:dyDescent="0.35">
      <c r="A1354" t="s">
        <v>1608</v>
      </c>
      <c r="B1354" t="s">
        <v>1606</v>
      </c>
      <c r="C1354" t="s">
        <v>22</v>
      </c>
      <c r="D1354" t="s">
        <v>38</v>
      </c>
      <c r="E1354" t="s">
        <v>3</v>
      </c>
      <c r="F1354" t="s">
        <v>49</v>
      </c>
      <c r="G1354">
        <v>698.2</v>
      </c>
      <c r="H1354">
        <v>7</v>
      </c>
      <c r="I1354">
        <v>-118.13</v>
      </c>
    </row>
    <row r="1355" spans="1:9" x14ac:dyDescent="0.35">
      <c r="A1355" t="s">
        <v>1609</v>
      </c>
      <c r="B1355" t="s">
        <v>1606</v>
      </c>
      <c r="C1355" t="s">
        <v>16</v>
      </c>
      <c r="D1355" t="s">
        <v>17</v>
      </c>
      <c r="E1355" t="s">
        <v>4</v>
      </c>
      <c r="F1355" t="s">
        <v>20</v>
      </c>
      <c r="G1355">
        <v>66.19</v>
      </c>
      <c r="H1355">
        <v>2</v>
      </c>
      <c r="I1355">
        <v>22.79</v>
      </c>
    </row>
    <row r="1356" spans="1:9" x14ac:dyDescent="0.35">
      <c r="A1356" t="s">
        <v>1610</v>
      </c>
      <c r="B1356" t="s">
        <v>1606</v>
      </c>
      <c r="C1356" t="s">
        <v>22</v>
      </c>
      <c r="D1356" t="s">
        <v>38</v>
      </c>
      <c r="E1356" t="s">
        <v>3</v>
      </c>
      <c r="F1356" t="s">
        <v>18</v>
      </c>
      <c r="G1356">
        <v>187.24</v>
      </c>
      <c r="H1356">
        <v>8</v>
      </c>
      <c r="I1356">
        <v>-23.59</v>
      </c>
    </row>
    <row r="1357" spans="1:9" x14ac:dyDescent="0.35">
      <c r="A1357" t="s">
        <v>1611</v>
      </c>
      <c r="B1357" t="s">
        <v>1606</v>
      </c>
      <c r="C1357" t="s">
        <v>34</v>
      </c>
      <c r="D1357" t="s">
        <v>38</v>
      </c>
      <c r="E1357" t="s">
        <v>4</v>
      </c>
      <c r="F1357" t="s">
        <v>39</v>
      </c>
      <c r="G1357">
        <v>28.01</v>
      </c>
      <c r="H1357">
        <v>5</v>
      </c>
      <c r="I1357">
        <v>6.06</v>
      </c>
    </row>
    <row r="1358" spans="1:9" x14ac:dyDescent="0.35">
      <c r="A1358" t="s">
        <v>1612</v>
      </c>
      <c r="B1358" t="s">
        <v>1613</v>
      </c>
      <c r="C1358" t="s">
        <v>22</v>
      </c>
      <c r="D1358" t="s">
        <v>23</v>
      </c>
      <c r="E1358" t="s">
        <v>4</v>
      </c>
      <c r="F1358" t="s">
        <v>24</v>
      </c>
      <c r="G1358">
        <v>38.1</v>
      </c>
      <c r="H1358">
        <v>7</v>
      </c>
      <c r="I1358">
        <v>9.75</v>
      </c>
    </row>
    <row r="1359" spans="1:9" x14ac:dyDescent="0.35">
      <c r="A1359" t="s">
        <v>1614</v>
      </c>
      <c r="B1359" t="s">
        <v>1613</v>
      </c>
      <c r="C1359" t="s">
        <v>26</v>
      </c>
      <c r="D1359" t="s">
        <v>17</v>
      </c>
      <c r="E1359" t="s">
        <v>3</v>
      </c>
      <c r="F1359" t="s">
        <v>49</v>
      </c>
      <c r="G1359">
        <v>20.59</v>
      </c>
      <c r="H1359">
        <v>1</v>
      </c>
      <c r="I1359">
        <v>-2.17</v>
      </c>
    </row>
    <row r="1360" spans="1:9" x14ac:dyDescent="0.35">
      <c r="A1360" t="s">
        <v>1615</v>
      </c>
      <c r="B1360" t="s">
        <v>1613</v>
      </c>
      <c r="C1360" t="s">
        <v>26</v>
      </c>
      <c r="D1360" t="s">
        <v>23</v>
      </c>
      <c r="E1360" t="s">
        <v>5</v>
      </c>
      <c r="F1360" t="s">
        <v>31</v>
      </c>
      <c r="G1360">
        <v>1148.78</v>
      </c>
      <c r="H1360">
        <v>5</v>
      </c>
      <c r="I1360">
        <v>406.44</v>
      </c>
    </row>
    <row r="1361" spans="1:9" x14ac:dyDescent="0.35">
      <c r="A1361" t="s">
        <v>1616</v>
      </c>
      <c r="B1361" t="s">
        <v>1613</v>
      </c>
      <c r="C1361" t="s">
        <v>34</v>
      </c>
      <c r="D1361" t="s">
        <v>38</v>
      </c>
      <c r="E1361" t="s">
        <v>3</v>
      </c>
      <c r="F1361" t="s">
        <v>18</v>
      </c>
      <c r="G1361">
        <v>263.13</v>
      </c>
      <c r="H1361">
        <v>1</v>
      </c>
      <c r="I1361">
        <v>6.95</v>
      </c>
    </row>
    <row r="1362" spans="1:9" x14ac:dyDescent="0.35">
      <c r="A1362" t="s">
        <v>1617</v>
      </c>
      <c r="B1362" t="s">
        <v>1613</v>
      </c>
      <c r="C1362" t="s">
        <v>26</v>
      </c>
      <c r="D1362" t="s">
        <v>23</v>
      </c>
      <c r="E1362" t="s">
        <v>4</v>
      </c>
      <c r="F1362" t="s">
        <v>20</v>
      </c>
      <c r="G1362">
        <v>251.77</v>
      </c>
      <c r="H1362">
        <v>8</v>
      </c>
      <c r="I1362">
        <v>81.27</v>
      </c>
    </row>
    <row r="1363" spans="1:9" x14ac:dyDescent="0.35">
      <c r="A1363" t="s">
        <v>1618</v>
      </c>
      <c r="B1363" t="s">
        <v>1613</v>
      </c>
      <c r="C1363" t="s">
        <v>26</v>
      </c>
      <c r="D1363" t="s">
        <v>17</v>
      </c>
      <c r="E1363" t="s">
        <v>5</v>
      </c>
      <c r="F1363" t="s">
        <v>31</v>
      </c>
      <c r="G1363">
        <v>126.92</v>
      </c>
      <c r="H1363">
        <v>4</v>
      </c>
      <c r="I1363">
        <v>25.77</v>
      </c>
    </row>
    <row r="1364" spans="1:9" x14ac:dyDescent="0.35">
      <c r="A1364" t="s">
        <v>1619</v>
      </c>
      <c r="B1364" t="s">
        <v>1620</v>
      </c>
      <c r="C1364" t="s">
        <v>16</v>
      </c>
      <c r="D1364" t="s">
        <v>23</v>
      </c>
      <c r="E1364" t="s">
        <v>4</v>
      </c>
      <c r="F1364" t="s">
        <v>20</v>
      </c>
      <c r="G1364">
        <v>73.52</v>
      </c>
      <c r="H1364">
        <v>4</v>
      </c>
      <c r="I1364">
        <v>1.57</v>
      </c>
    </row>
    <row r="1365" spans="1:9" x14ac:dyDescent="0.35">
      <c r="A1365" t="s">
        <v>1621</v>
      </c>
      <c r="B1365" t="s">
        <v>1620</v>
      </c>
      <c r="C1365" t="s">
        <v>22</v>
      </c>
      <c r="D1365" t="s">
        <v>23</v>
      </c>
      <c r="E1365" t="s">
        <v>4</v>
      </c>
      <c r="F1365" t="s">
        <v>24</v>
      </c>
      <c r="G1365">
        <v>44.6</v>
      </c>
      <c r="H1365">
        <v>2</v>
      </c>
      <c r="I1365">
        <v>4.4400000000000004</v>
      </c>
    </row>
    <row r="1366" spans="1:9" x14ac:dyDescent="0.35">
      <c r="A1366" t="s">
        <v>1622</v>
      </c>
      <c r="B1366" t="s">
        <v>1620</v>
      </c>
      <c r="C1366" t="s">
        <v>34</v>
      </c>
      <c r="D1366" t="s">
        <v>23</v>
      </c>
      <c r="E1366" t="s">
        <v>4</v>
      </c>
      <c r="F1366" t="s">
        <v>24</v>
      </c>
      <c r="G1366">
        <v>70.25</v>
      </c>
      <c r="H1366">
        <v>5</v>
      </c>
      <c r="I1366">
        <v>12</v>
      </c>
    </row>
    <row r="1367" spans="1:9" x14ac:dyDescent="0.35">
      <c r="A1367" t="s">
        <v>1623</v>
      </c>
      <c r="B1367" t="s">
        <v>1620</v>
      </c>
      <c r="C1367" t="s">
        <v>34</v>
      </c>
      <c r="D1367" t="s">
        <v>17</v>
      </c>
      <c r="E1367" t="s">
        <v>5</v>
      </c>
      <c r="F1367" t="s">
        <v>29</v>
      </c>
      <c r="G1367">
        <v>90.73</v>
      </c>
      <c r="H1367">
        <v>1</v>
      </c>
      <c r="I1367">
        <v>23.21</v>
      </c>
    </row>
    <row r="1368" spans="1:9" x14ac:dyDescent="0.35">
      <c r="A1368" t="s">
        <v>1624</v>
      </c>
      <c r="B1368" t="s">
        <v>1620</v>
      </c>
      <c r="C1368" t="s">
        <v>34</v>
      </c>
      <c r="D1368" t="s">
        <v>17</v>
      </c>
      <c r="E1368" t="s">
        <v>4</v>
      </c>
      <c r="F1368" t="s">
        <v>24</v>
      </c>
      <c r="G1368">
        <v>231.78</v>
      </c>
      <c r="H1368">
        <v>9</v>
      </c>
      <c r="I1368">
        <v>25.65</v>
      </c>
    </row>
    <row r="1369" spans="1:9" x14ac:dyDescent="0.35">
      <c r="A1369" t="s">
        <v>1625</v>
      </c>
      <c r="B1369" t="s">
        <v>1620</v>
      </c>
      <c r="C1369" t="s">
        <v>34</v>
      </c>
      <c r="D1369" t="s">
        <v>38</v>
      </c>
      <c r="E1369" t="s">
        <v>4</v>
      </c>
      <c r="F1369" t="s">
        <v>39</v>
      </c>
      <c r="G1369">
        <v>136.37</v>
      </c>
      <c r="H1369">
        <v>5</v>
      </c>
      <c r="I1369">
        <v>-5.58</v>
      </c>
    </row>
    <row r="1370" spans="1:9" x14ac:dyDescent="0.35">
      <c r="A1370" t="s">
        <v>1626</v>
      </c>
      <c r="B1370" t="s">
        <v>1627</v>
      </c>
      <c r="C1370" t="s">
        <v>34</v>
      </c>
      <c r="D1370" t="s">
        <v>38</v>
      </c>
      <c r="E1370" t="s">
        <v>5</v>
      </c>
      <c r="F1370" t="s">
        <v>41</v>
      </c>
      <c r="G1370">
        <v>32.1</v>
      </c>
      <c r="H1370">
        <v>6</v>
      </c>
      <c r="I1370">
        <v>9.5399999999999991</v>
      </c>
    </row>
    <row r="1371" spans="1:9" x14ac:dyDescent="0.35">
      <c r="A1371" t="s">
        <v>1628</v>
      </c>
      <c r="B1371" t="s">
        <v>1627</v>
      </c>
      <c r="C1371" t="s">
        <v>26</v>
      </c>
      <c r="D1371" t="s">
        <v>17</v>
      </c>
      <c r="E1371" t="s">
        <v>5</v>
      </c>
      <c r="F1371" t="s">
        <v>29</v>
      </c>
      <c r="G1371">
        <v>22.73</v>
      </c>
      <c r="H1371">
        <v>2</v>
      </c>
      <c r="I1371">
        <v>10.17</v>
      </c>
    </row>
    <row r="1372" spans="1:9" x14ac:dyDescent="0.35">
      <c r="A1372" t="s">
        <v>1629</v>
      </c>
      <c r="B1372" t="s">
        <v>1627</v>
      </c>
      <c r="C1372" t="s">
        <v>16</v>
      </c>
      <c r="D1372" t="s">
        <v>38</v>
      </c>
      <c r="E1372" t="s">
        <v>4</v>
      </c>
      <c r="F1372" t="s">
        <v>20</v>
      </c>
      <c r="G1372">
        <v>36.19</v>
      </c>
      <c r="H1372">
        <v>1</v>
      </c>
      <c r="I1372">
        <v>7.11</v>
      </c>
    </row>
    <row r="1373" spans="1:9" x14ac:dyDescent="0.35">
      <c r="A1373" t="s">
        <v>1630</v>
      </c>
      <c r="B1373" t="s">
        <v>1627</v>
      </c>
      <c r="C1373" t="s">
        <v>34</v>
      </c>
      <c r="D1373" t="s">
        <v>17</v>
      </c>
      <c r="E1373" t="s">
        <v>5</v>
      </c>
      <c r="F1373" t="s">
        <v>31</v>
      </c>
      <c r="G1373">
        <v>99.27</v>
      </c>
      <c r="H1373">
        <v>4</v>
      </c>
      <c r="I1373">
        <v>30.86</v>
      </c>
    </row>
    <row r="1374" spans="1:9" x14ac:dyDescent="0.35">
      <c r="A1374" t="s">
        <v>1631</v>
      </c>
      <c r="B1374" t="s">
        <v>1627</v>
      </c>
      <c r="C1374" t="s">
        <v>16</v>
      </c>
      <c r="D1374" t="s">
        <v>23</v>
      </c>
      <c r="E1374" t="s">
        <v>4</v>
      </c>
      <c r="F1374" t="s">
        <v>24</v>
      </c>
      <c r="G1374">
        <v>425.89</v>
      </c>
      <c r="H1374">
        <v>7</v>
      </c>
      <c r="I1374">
        <v>88.26</v>
      </c>
    </row>
    <row r="1375" spans="1:9" x14ac:dyDescent="0.35">
      <c r="A1375" t="s">
        <v>1632</v>
      </c>
      <c r="B1375" t="s">
        <v>1627</v>
      </c>
      <c r="C1375" t="s">
        <v>16</v>
      </c>
      <c r="D1375" t="s">
        <v>23</v>
      </c>
      <c r="E1375" t="s">
        <v>3</v>
      </c>
      <c r="F1375" t="s">
        <v>27</v>
      </c>
      <c r="G1375">
        <v>172.17</v>
      </c>
      <c r="H1375">
        <v>6</v>
      </c>
      <c r="I1375">
        <v>-1.77</v>
      </c>
    </row>
    <row r="1376" spans="1:9" x14ac:dyDescent="0.35">
      <c r="A1376" t="s">
        <v>1633</v>
      </c>
      <c r="B1376" t="s">
        <v>1634</v>
      </c>
      <c r="C1376" t="s">
        <v>26</v>
      </c>
      <c r="D1376" t="s">
        <v>38</v>
      </c>
      <c r="E1376" t="s">
        <v>5</v>
      </c>
      <c r="F1376" t="s">
        <v>31</v>
      </c>
      <c r="G1376">
        <v>262.79000000000002</v>
      </c>
      <c r="H1376">
        <v>1</v>
      </c>
      <c r="I1376">
        <v>90.18</v>
      </c>
    </row>
    <row r="1377" spans="1:9" x14ac:dyDescent="0.35">
      <c r="A1377" t="s">
        <v>1635</v>
      </c>
      <c r="B1377" t="s">
        <v>1634</v>
      </c>
      <c r="C1377" t="s">
        <v>34</v>
      </c>
      <c r="D1377" t="s">
        <v>38</v>
      </c>
      <c r="E1377" t="s">
        <v>4</v>
      </c>
      <c r="F1377" t="s">
        <v>39</v>
      </c>
      <c r="G1377">
        <v>114.21</v>
      </c>
      <c r="H1377">
        <v>1</v>
      </c>
      <c r="I1377">
        <v>21.65</v>
      </c>
    </row>
    <row r="1378" spans="1:9" x14ac:dyDescent="0.35">
      <c r="A1378" t="s">
        <v>1636</v>
      </c>
      <c r="B1378" t="s">
        <v>1634</v>
      </c>
      <c r="C1378" t="s">
        <v>26</v>
      </c>
      <c r="D1378" t="s">
        <v>17</v>
      </c>
      <c r="E1378" t="s">
        <v>3</v>
      </c>
      <c r="F1378" t="s">
        <v>49</v>
      </c>
      <c r="G1378">
        <v>87.33</v>
      </c>
      <c r="H1378">
        <v>8</v>
      </c>
      <c r="I1378">
        <v>-7.1</v>
      </c>
    </row>
    <row r="1379" spans="1:9" x14ac:dyDescent="0.35">
      <c r="A1379" t="s">
        <v>1637</v>
      </c>
      <c r="B1379" t="s">
        <v>1634</v>
      </c>
      <c r="C1379" t="s">
        <v>34</v>
      </c>
      <c r="D1379" t="s">
        <v>38</v>
      </c>
      <c r="E1379" t="s">
        <v>3</v>
      </c>
      <c r="F1379" t="s">
        <v>18</v>
      </c>
      <c r="G1379">
        <v>37.21</v>
      </c>
      <c r="H1379">
        <v>4</v>
      </c>
      <c r="I1379">
        <v>-4.82</v>
      </c>
    </row>
    <row r="1380" spans="1:9" x14ac:dyDescent="0.35">
      <c r="A1380" t="s">
        <v>1638</v>
      </c>
      <c r="B1380" t="s">
        <v>1634</v>
      </c>
      <c r="C1380" t="s">
        <v>26</v>
      </c>
      <c r="D1380" t="s">
        <v>17</v>
      </c>
      <c r="E1380" t="s">
        <v>3</v>
      </c>
      <c r="F1380" t="s">
        <v>27</v>
      </c>
      <c r="G1380">
        <v>333.04</v>
      </c>
      <c r="H1380">
        <v>5</v>
      </c>
      <c r="I1380">
        <v>-24.94</v>
      </c>
    </row>
    <row r="1381" spans="1:9" x14ac:dyDescent="0.35">
      <c r="A1381" t="s">
        <v>1639</v>
      </c>
      <c r="B1381" t="s">
        <v>1634</v>
      </c>
      <c r="C1381" t="s">
        <v>16</v>
      </c>
      <c r="D1381" t="s">
        <v>23</v>
      </c>
      <c r="E1381" t="s">
        <v>3</v>
      </c>
      <c r="F1381" t="s">
        <v>27</v>
      </c>
      <c r="G1381">
        <v>249.29</v>
      </c>
      <c r="H1381">
        <v>7</v>
      </c>
      <c r="I1381">
        <v>-4.63</v>
      </c>
    </row>
    <row r="1382" spans="1:9" x14ac:dyDescent="0.35">
      <c r="A1382" t="s">
        <v>1640</v>
      </c>
      <c r="B1382" t="s">
        <v>1641</v>
      </c>
      <c r="C1382" t="s">
        <v>34</v>
      </c>
      <c r="D1382" t="s">
        <v>23</v>
      </c>
      <c r="E1382" t="s">
        <v>5</v>
      </c>
      <c r="F1382" t="s">
        <v>29</v>
      </c>
      <c r="G1382">
        <v>47.61</v>
      </c>
      <c r="H1382">
        <v>8</v>
      </c>
      <c r="I1382">
        <v>10.4</v>
      </c>
    </row>
    <row r="1383" spans="1:9" x14ac:dyDescent="0.35">
      <c r="A1383" t="s">
        <v>1642</v>
      </c>
      <c r="B1383" t="s">
        <v>1641</v>
      </c>
      <c r="C1383" t="s">
        <v>22</v>
      </c>
      <c r="D1383" t="s">
        <v>23</v>
      </c>
      <c r="E1383" t="s">
        <v>3</v>
      </c>
      <c r="F1383" t="s">
        <v>27</v>
      </c>
      <c r="G1383">
        <v>127.7</v>
      </c>
      <c r="H1383">
        <v>7</v>
      </c>
      <c r="I1383">
        <v>-2.37</v>
      </c>
    </row>
    <row r="1384" spans="1:9" x14ac:dyDescent="0.35">
      <c r="A1384" t="s">
        <v>1643</v>
      </c>
      <c r="B1384" t="s">
        <v>1641</v>
      </c>
      <c r="C1384" t="s">
        <v>16</v>
      </c>
      <c r="D1384" t="s">
        <v>17</v>
      </c>
      <c r="E1384" t="s">
        <v>4</v>
      </c>
      <c r="F1384" t="s">
        <v>24</v>
      </c>
      <c r="G1384">
        <v>120.23</v>
      </c>
      <c r="H1384">
        <v>2</v>
      </c>
      <c r="I1384">
        <v>23.31</v>
      </c>
    </row>
    <row r="1385" spans="1:9" x14ac:dyDescent="0.35">
      <c r="A1385" t="s">
        <v>1644</v>
      </c>
      <c r="B1385" t="s">
        <v>1641</v>
      </c>
      <c r="C1385" t="s">
        <v>22</v>
      </c>
      <c r="D1385" t="s">
        <v>38</v>
      </c>
      <c r="E1385" t="s">
        <v>5</v>
      </c>
      <c r="F1385" t="s">
        <v>31</v>
      </c>
      <c r="G1385">
        <v>167.16</v>
      </c>
      <c r="H1385">
        <v>4</v>
      </c>
      <c r="I1385">
        <v>55.72</v>
      </c>
    </row>
    <row r="1386" spans="1:9" x14ac:dyDescent="0.35">
      <c r="A1386" t="s">
        <v>1645</v>
      </c>
      <c r="B1386" t="s">
        <v>1641</v>
      </c>
      <c r="C1386" t="s">
        <v>16</v>
      </c>
      <c r="D1386" t="s">
        <v>17</v>
      </c>
      <c r="E1386" t="s">
        <v>4</v>
      </c>
      <c r="F1386" t="s">
        <v>24</v>
      </c>
      <c r="G1386">
        <v>458.34</v>
      </c>
      <c r="H1386">
        <v>1</v>
      </c>
      <c r="I1386">
        <v>127.55</v>
      </c>
    </row>
    <row r="1387" spans="1:9" x14ac:dyDescent="0.35">
      <c r="A1387" t="s">
        <v>1646</v>
      </c>
      <c r="B1387" t="s">
        <v>1641</v>
      </c>
      <c r="C1387" t="s">
        <v>26</v>
      </c>
      <c r="D1387" t="s">
        <v>17</v>
      </c>
      <c r="E1387" t="s">
        <v>3</v>
      </c>
      <c r="F1387" t="s">
        <v>27</v>
      </c>
      <c r="G1387">
        <v>150.04</v>
      </c>
      <c r="H1387">
        <v>9</v>
      </c>
      <c r="I1387">
        <v>-6.33</v>
      </c>
    </row>
    <row r="1388" spans="1:9" x14ac:dyDescent="0.35">
      <c r="A1388" t="s">
        <v>1647</v>
      </c>
      <c r="B1388" t="s">
        <v>1648</v>
      </c>
      <c r="C1388" t="s">
        <v>34</v>
      </c>
      <c r="D1388" t="s">
        <v>23</v>
      </c>
      <c r="E1388" t="s">
        <v>4</v>
      </c>
      <c r="F1388" t="s">
        <v>20</v>
      </c>
      <c r="G1388">
        <v>136.55000000000001</v>
      </c>
      <c r="H1388">
        <v>3</v>
      </c>
      <c r="I1388">
        <v>2.62</v>
      </c>
    </row>
    <row r="1389" spans="1:9" x14ac:dyDescent="0.35">
      <c r="A1389" t="s">
        <v>1649</v>
      </c>
      <c r="B1389" t="s">
        <v>1648</v>
      </c>
      <c r="C1389" t="s">
        <v>16</v>
      </c>
      <c r="D1389" t="s">
        <v>17</v>
      </c>
      <c r="E1389" t="s">
        <v>5</v>
      </c>
      <c r="F1389" t="s">
        <v>31</v>
      </c>
      <c r="G1389">
        <v>27.74</v>
      </c>
      <c r="H1389">
        <v>3</v>
      </c>
      <c r="I1389">
        <v>5.98</v>
      </c>
    </row>
    <row r="1390" spans="1:9" x14ac:dyDescent="0.35">
      <c r="A1390" t="s">
        <v>1650</v>
      </c>
      <c r="B1390" t="s">
        <v>1648</v>
      </c>
      <c r="C1390" t="s">
        <v>26</v>
      </c>
      <c r="D1390" t="s">
        <v>38</v>
      </c>
      <c r="E1390" t="s">
        <v>4</v>
      </c>
      <c r="F1390" t="s">
        <v>20</v>
      </c>
      <c r="G1390">
        <v>29.75</v>
      </c>
      <c r="H1390">
        <v>9</v>
      </c>
      <c r="I1390">
        <v>4.59</v>
      </c>
    </row>
    <row r="1391" spans="1:9" x14ac:dyDescent="0.35">
      <c r="A1391" t="s">
        <v>1651</v>
      </c>
      <c r="B1391" t="s">
        <v>1648</v>
      </c>
      <c r="C1391" t="s">
        <v>34</v>
      </c>
      <c r="D1391" t="s">
        <v>17</v>
      </c>
      <c r="E1391" t="s">
        <v>3</v>
      </c>
      <c r="F1391" t="s">
        <v>27</v>
      </c>
      <c r="G1391">
        <v>51.12</v>
      </c>
      <c r="H1391">
        <v>3</v>
      </c>
      <c r="I1391">
        <v>-11.94</v>
      </c>
    </row>
    <row r="1392" spans="1:9" x14ac:dyDescent="0.35">
      <c r="A1392" t="s">
        <v>1652</v>
      </c>
      <c r="B1392" t="s">
        <v>1648</v>
      </c>
      <c r="C1392" t="s">
        <v>34</v>
      </c>
      <c r="D1392" t="s">
        <v>17</v>
      </c>
      <c r="E1392" t="s">
        <v>5</v>
      </c>
      <c r="F1392" t="s">
        <v>41</v>
      </c>
      <c r="G1392">
        <v>24.95</v>
      </c>
      <c r="H1392">
        <v>8</v>
      </c>
      <c r="I1392">
        <v>9.6999999999999993</v>
      </c>
    </row>
    <row r="1393" spans="1:9" x14ac:dyDescent="0.35">
      <c r="A1393" t="s">
        <v>1653</v>
      </c>
      <c r="B1393" t="s">
        <v>1648</v>
      </c>
      <c r="C1393" t="s">
        <v>16</v>
      </c>
      <c r="D1393" t="s">
        <v>38</v>
      </c>
      <c r="E1393" t="s">
        <v>5</v>
      </c>
      <c r="F1393" t="s">
        <v>41</v>
      </c>
      <c r="G1393">
        <v>224.01</v>
      </c>
      <c r="H1393">
        <v>2</v>
      </c>
      <c r="I1393">
        <v>59.19</v>
      </c>
    </row>
    <row r="1394" spans="1:9" x14ac:dyDescent="0.35">
      <c r="A1394" t="s">
        <v>1654</v>
      </c>
      <c r="B1394" t="s">
        <v>1655</v>
      </c>
      <c r="C1394" t="s">
        <v>34</v>
      </c>
      <c r="D1394" t="s">
        <v>23</v>
      </c>
      <c r="E1394" t="s">
        <v>5</v>
      </c>
      <c r="F1394" t="s">
        <v>41</v>
      </c>
      <c r="G1394">
        <v>212.74</v>
      </c>
      <c r="H1394">
        <v>3</v>
      </c>
      <c r="I1394">
        <v>61.3</v>
      </c>
    </row>
    <row r="1395" spans="1:9" x14ac:dyDescent="0.35">
      <c r="A1395" t="s">
        <v>1656</v>
      </c>
      <c r="B1395" t="s">
        <v>1655</v>
      </c>
      <c r="C1395" t="s">
        <v>16</v>
      </c>
      <c r="D1395" t="s">
        <v>17</v>
      </c>
      <c r="E1395" t="s">
        <v>3</v>
      </c>
      <c r="F1395" t="s">
        <v>49</v>
      </c>
      <c r="G1395">
        <v>41.94</v>
      </c>
      <c r="H1395">
        <v>2</v>
      </c>
      <c r="I1395">
        <v>3.63</v>
      </c>
    </row>
    <row r="1396" spans="1:9" x14ac:dyDescent="0.35">
      <c r="A1396" t="s">
        <v>1657</v>
      </c>
      <c r="B1396" t="s">
        <v>1655</v>
      </c>
      <c r="C1396" t="s">
        <v>34</v>
      </c>
      <c r="D1396" t="s">
        <v>23</v>
      </c>
      <c r="E1396" t="s">
        <v>3</v>
      </c>
      <c r="F1396" t="s">
        <v>18</v>
      </c>
      <c r="G1396">
        <v>291.26</v>
      </c>
      <c r="H1396">
        <v>1</v>
      </c>
      <c r="I1396">
        <v>-32.92</v>
      </c>
    </row>
    <row r="1397" spans="1:9" x14ac:dyDescent="0.35">
      <c r="A1397" t="s">
        <v>1658</v>
      </c>
      <c r="B1397" t="s">
        <v>1655</v>
      </c>
      <c r="C1397" t="s">
        <v>22</v>
      </c>
      <c r="D1397" t="s">
        <v>23</v>
      </c>
      <c r="E1397" t="s">
        <v>4</v>
      </c>
      <c r="F1397" t="s">
        <v>20</v>
      </c>
      <c r="G1397">
        <v>45.22</v>
      </c>
      <c r="H1397">
        <v>2</v>
      </c>
      <c r="I1397">
        <v>9.3800000000000008</v>
      </c>
    </row>
    <row r="1398" spans="1:9" x14ac:dyDescent="0.35">
      <c r="A1398" t="s">
        <v>1659</v>
      </c>
      <c r="B1398" t="s">
        <v>1655</v>
      </c>
      <c r="C1398" t="s">
        <v>26</v>
      </c>
      <c r="D1398" t="s">
        <v>23</v>
      </c>
      <c r="E1398" t="s">
        <v>3</v>
      </c>
      <c r="F1398" t="s">
        <v>27</v>
      </c>
      <c r="G1398">
        <v>73.75</v>
      </c>
      <c r="H1398">
        <v>8</v>
      </c>
      <c r="I1398">
        <v>-4.5</v>
      </c>
    </row>
    <row r="1399" spans="1:9" x14ac:dyDescent="0.35">
      <c r="A1399" t="s">
        <v>1660</v>
      </c>
      <c r="B1399" t="s">
        <v>1655</v>
      </c>
      <c r="C1399" t="s">
        <v>22</v>
      </c>
      <c r="D1399" t="s">
        <v>17</v>
      </c>
      <c r="E1399" t="s">
        <v>5</v>
      </c>
      <c r="F1399" t="s">
        <v>41</v>
      </c>
      <c r="G1399">
        <v>62.95</v>
      </c>
      <c r="H1399">
        <v>9</v>
      </c>
      <c r="I1399">
        <v>14.58</v>
      </c>
    </row>
    <row r="1400" spans="1:9" x14ac:dyDescent="0.35">
      <c r="A1400" t="s">
        <v>1661</v>
      </c>
      <c r="B1400" t="s">
        <v>1662</v>
      </c>
      <c r="C1400" t="s">
        <v>16</v>
      </c>
      <c r="D1400" t="s">
        <v>38</v>
      </c>
      <c r="E1400" t="s">
        <v>4</v>
      </c>
      <c r="F1400" t="s">
        <v>20</v>
      </c>
      <c r="G1400">
        <v>89.86</v>
      </c>
      <c r="H1400">
        <v>2</v>
      </c>
      <c r="I1400">
        <v>6.54</v>
      </c>
    </row>
    <row r="1401" spans="1:9" x14ac:dyDescent="0.35">
      <c r="A1401" t="s">
        <v>1663</v>
      </c>
      <c r="B1401" t="s">
        <v>1662</v>
      </c>
      <c r="C1401" t="s">
        <v>22</v>
      </c>
      <c r="D1401" t="s">
        <v>38</v>
      </c>
      <c r="E1401" t="s">
        <v>4</v>
      </c>
      <c r="F1401" t="s">
        <v>24</v>
      </c>
      <c r="G1401">
        <v>64.09</v>
      </c>
      <c r="H1401">
        <v>7</v>
      </c>
      <c r="I1401">
        <v>20.29</v>
      </c>
    </row>
    <row r="1402" spans="1:9" x14ac:dyDescent="0.35">
      <c r="A1402" t="s">
        <v>1664</v>
      </c>
      <c r="B1402" t="s">
        <v>1662</v>
      </c>
      <c r="C1402" t="s">
        <v>16</v>
      </c>
      <c r="D1402" t="s">
        <v>23</v>
      </c>
      <c r="E1402" t="s">
        <v>5</v>
      </c>
      <c r="F1402" t="s">
        <v>31</v>
      </c>
      <c r="G1402">
        <v>120.69</v>
      </c>
      <c r="H1402">
        <v>5</v>
      </c>
      <c r="I1402">
        <v>25.64</v>
      </c>
    </row>
    <row r="1403" spans="1:9" x14ac:dyDescent="0.35">
      <c r="A1403" t="s">
        <v>1665</v>
      </c>
      <c r="B1403" t="s">
        <v>1662</v>
      </c>
      <c r="C1403" t="s">
        <v>34</v>
      </c>
      <c r="D1403" t="s">
        <v>17</v>
      </c>
      <c r="E1403" t="s">
        <v>5</v>
      </c>
      <c r="F1403" t="s">
        <v>29</v>
      </c>
      <c r="G1403">
        <v>98.49</v>
      </c>
      <c r="H1403">
        <v>3</v>
      </c>
      <c r="I1403">
        <v>31.51</v>
      </c>
    </row>
    <row r="1404" spans="1:9" x14ac:dyDescent="0.35">
      <c r="A1404" t="s">
        <v>1666</v>
      </c>
      <c r="B1404" t="s">
        <v>1662</v>
      </c>
      <c r="C1404" t="s">
        <v>34</v>
      </c>
      <c r="D1404" t="s">
        <v>38</v>
      </c>
      <c r="E1404" t="s">
        <v>5</v>
      </c>
      <c r="F1404" t="s">
        <v>41</v>
      </c>
      <c r="G1404">
        <v>666.53</v>
      </c>
      <c r="H1404">
        <v>9</v>
      </c>
      <c r="I1404">
        <v>41.66</v>
      </c>
    </row>
    <row r="1405" spans="1:9" x14ac:dyDescent="0.35">
      <c r="A1405" t="s">
        <v>1667</v>
      </c>
      <c r="B1405" t="s">
        <v>1662</v>
      </c>
      <c r="C1405" t="s">
        <v>16</v>
      </c>
      <c r="D1405" t="s">
        <v>23</v>
      </c>
      <c r="E1405" t="s">
        <v>4</v>
      </c>
      <c r="F1405" t="s">
        <v>24</v>
      </c>
      <c r="G1405">
        <v>28.63</v>
      </c>
      <c r="H1405">
        <v>6</v>
      </c>
      <c r="I1405">
        <v>7.67</v>
      </c>
    </row>
    <row r="1406" spans="1:9" x14ac:dyDescent="0.35">
      <c r="A1406" t="s">
        <v>1668</v>
      </c>
      <c r="B1406" t="s">
        <v>1669</v>
      </c>
      <c r="C1406" t="s">
        <v>22</v>
      </c>
      <c r="D1406" t="s">
        <v>23</v>
      </c>
      <c r="E1406" t="s">
        <v>4</v>
      </c>
      <c r="F1406" t="s">
        <v>39</v>
      </c>
      <c r="G1406">
        <v>43</v>
      </c>
      <c r="H1406">
        <v>1</v>
      </c>
      <c r="I1406">
        <v>10.97</v>
      </c>
    </row>
    <row r="1407" spans="1:9" x14ac:dyDescent="0.35">
      <c r="A1407" t="s">
        <v>1670</v>
      </c>
      <c r="B1407" t="s">
        <v>1669</v>
      </c>
      <c r="C1407" t="s">
        <v>34</v>
      </c>
      <c r="D1407" t="s">
        <v>17</v>
      </c>
      <c r="E1407" t="s">
        <v>3</v>
      </c>
      <c r="F1407" t="s">
        <v>49</v>
      </c>
      <c r="G1407">
        <v>28.14</v>
      </c>
      <c r="H1407">
        <v>5</v>
      </c>
      <c r="I1407">
        <v>-1.1299999999999999</v>
      </c>
    </row>
    <row r="1408" spans="1:9" x14ac:dyDescent="0.35">
      <c r="A1408" t="s">
        <v>1671</v>
      </c>
      <c r="B1408" t="s">
        <v>1669</v>
      </c>
      <c r="C1408" t="s">
        <v>26</v>
      </c>
      <c r="D1408" t="s">
        <v>38</v>
      </c>
      <c r="E1408" t="s">
        <v>4</v>
      </c>
      <c r="F1408" t="s">
        <v>39</v>
      </c>
      <c r="G1408">
        <v>167.46</v>
      </c>
      <c r="H1408">
        <v>7</v>
      </c>
      <c r="I1408">
        <v>21.32</v>
      </c>
    </row>
    <row r="1409" spans="1:9" x14ac:dyDescent="0.35">
      <c r="A1409" t="s">
        <v>1672</v>
      </c>
      <c r="B1409" t="s">
        <v>1669</v>
      </c>
      <c r="C1409" t="s">
        <v>34</v>
      </c>
      <c r="D1409" t="s">
        <v>23</v>
      </c>
      <c r="E1409" t="s">
        <v>4</v>
      </c>
      <c r="F1409" t="s">
        <v>24</v>
      </c>
      <c r="G1409">
        <v>28.41</v>
      </c>
      <c r="H1409">
        <v>4</v>
      </c>
      <c r="I1409">
        <v>5.4</v>
      </c>
    </row>
    <row r="1410" spans="1:9" x14ac:dyDescent="0.35">
      <c r="A1410" t="s">
        <v>1673</v>
      </c>
      <c r="B1410" t="s">
        <v>1669</v>
      </c>
      <c r="C1410" t="s">
        <v>26</v>
      </c>
      <c r="D1410" t="s">
        <v>17</v>
      </c>
      <c r="E1410" t="s">
        <v>3</v>
      </c>
      <c r="F1410" t="s">
        <v>49</v>
      </c>
      <c r="G1410">
        <v>291.58999999999997</v>
      </c>
      <c r="H1410">
        <v>8</v>
      </c>
      <c r="I1410">
        <v>52.16</v>
      </c>
    </row>
    <row r="1411" spans="1:9" x14ac:dyDescent="0.35">
      <c r="A1411" t="s">
        <v>1674</v>
      </c>
      <c r="B1411" t="s">
        <v>1669</v>
      </c>
      <c r="C1411" t="s">
        <v>22</v>
      </c>
      <c r="D1411" t="s">
        <v>17</v>
      </c>
      <c r="E1411" t="s">
        <v>4</v>
      </c>
      <c r="F1411" t="s">
        <v>24</v>
      </c>
      <c r="G1411">
        <v>127.6</v>
      </c>
      <c r="H1411">
        <v>5</v>
      </c>
      <c r="I1411">
        <v>-3.36</v>
      </c>
    </row>
    <row r="1412" spans="1:9" x14ac:dyDescent="0.35">
      <c r="A1412" t="s">
        <v>1675</v>
      </c>
      <c r="B1412" t="s">
        <v>1676</v>
      </c>
      <c r="C1412" t="s">
        <v>26</v>
      </c>
      <c r="D1412" t="s">
        <v>38</v>
      </c>
      <c r="E1412" t="s">
        <v>5</v>
      </c>
      <c r="F1412" t="s">
        <v>41</v>
      </c>
      <c r="G1412">
        <v>132.30000000000001</v>
      </c>
      <c r="H1412">
        <v>9</v>
      </c>
      <c r="I1412">
        <v>43.42</v>
      </c>
    </row>
    <row r="1413" spans="1:9" x14ac:dyDescent="0.35">
      <c r="A1413" t="s">
        <v>1677</v>
      </c>
      <c r="B1413" t="s">
        <v>1676</v>
      </c>
      <c r="C1413" t="s">
        <v>26</v>
      </c>
      <c r="D1413" t="s">
        <v>17</v>
      </c>
      <c r="E1413" t="s">
        <v>5</v>
      </c>
      <c r="F1413" t="s">
        <v>31</v>
      </c>
      <c r="G1413">
        <v>143.69</v>
      </c>
      <c r="H1413">
        <v>9</v>
      </c>
      <c r="I1413">
        <v>22.82</v>
      </c>
    </row>
    <row r="1414" spans="1:9" x14ac:dyDescent="0.35">
      <c r="A1414" t="s">
        <v>1678</v>
      </c>
      <c r="B1414" t="s">
        <v>1676</v>
      </c>
      <c r="C1414" t="s">
        <v>26</v>
      </c>
      <c r="D1414" t="s">
        <v>38</v>
      </c>
      <c r="E1414" t="s">
        <v>5</v>
      </c>
      <c r="F1414" t="s">
        <v>41</v>
      </c>
      <c r="G1414">
        <v>48.1</v>
      </c>
      <c r="H1414">
        <v>9</v>
      </c>
      <c r="I1414">
        <v>11.93</v>
      </c>
    </row>
    <row r="1415" spans="1:9" x14ac:dyDescent="0.35">
      <c r="A1415" t="s">
        <v>1679</v>
      </c>
      <c r="B1415" t="s">
        <v>1676</v>
      </c>
      <c r="C1415" t="s">
        <v>26</v>
      </c>
      <c r="D1415" t="s">
        <v>23</v>
      </c>
      <c r="E1415" t="s">
        <v>5</v>
      </c>
      <c r="F1415" t="s">
        <v>29</v>
      </c>
      <c r="G1415">
        <v>53.04</v>
      </c>
      <c r="H1415">
        <v>1</v>
      </c>
      <c r="I1415">
        <v>11.95</v>
      </c>
    </row>
    <row r="1416" spans="1:9" x14ac:dyDescent="0.35">
      <c r="A1416" t="s">
        <v>1680</v>
      </c>
      <c r="B1416" t="s">
        <v>1676</v>
      </c>
      <c r="C1416" t="s">
        <v>34</v>
      </c>
      <c r="D1416" t="s">
        <v>23</v>
      </c>
      <c r="E1416" t="s">
        <v>3</v>
      </c>
      <c r="F1416" t="s">
        <v>49</v>
      </c>
      <c r="G1416">
        <v>77.59</v>
      </c>
      <c r="H1416">
        <v>2</v>
      </c>
      <c r="I1416">
        <v>-7.2</v>
      </c>
    </row>
    <row r="1417" spans="1:9" x14ac:dyDescent="0.35">
      <c r="A1417" t="s">
        <v>1681</v>
      </c>
      <c r="B1417" t="s">
        <v>1676</v>
      </c>
      <c r="C1417" t="s">
        <v>26</v>
      </c>
      <c r="D1417" t="s">
        <v>17</v>
      </c>
      <c r="E1417" t="s">
        <v>4</v>
      </c>
      <c r="F1417" t="s">
        <v>39</v>
      </c>
      <c r="G1417">
        <v>155.02000000000001</v>
      </c>
      <c r="H1417">
        <v>3</v>
      </c>
      <c r="I1417">
        <v>23.09</v>
      </c>
    </row>
    <row r="1418" spans="1:9" x14ac:dyDescent="0.35">
      <c r="A1418" t="s">
        <v>1682</v>
      </c>
      <c r="B1418" t="s">
        <v>1683</v>
      </c>
      <c r="C1418" t="s">
        <v>34</v>
      </c>
      <c r="D1418" t="s">
        <v>17</v>
      </c>
      <c r="E1418" t="s">
        <v>5</v>
      </c>
      <c r="F1418" t="s">
        <v>31</v>
      </c>
      <c r="G1418">
        <v>55.38</v>
      </c>
      <c r="H1418">
        <v>4</v>
      </c>
      <c r="I1418">
        <v>7.56</v>
      </c>
    </row>
    <row r="1419" spans="1:9" x14ac:dyDescent="0.35">
      <c r="A1419" t="s">
        <v>1684</v>
      </c>
      <c r="B1419" t="s">
        <v>1683</v>
      </c>
      <c r="C1419" t="s">
        <v>26</v>
      </c>
      <c r="D1419" t="s">
        <v>38</v>
      </c>
      <c r="E1419" t="s">
        <v>5</v>
      </c>
      <c r="F1419" t="s">
        <v>31</v>
      </c>
      <c r="G1419">
        <v>38.549999999999997</v>
      </c>
      <c r="H1419">
        <v>9</v>
      </c>
      <c r="I1419">
        <v>13.6</v>
      </c>
    </row>
    <row r="1420" spans="1:9" x14ac:dyDescent="0.35">
      <c r="A1420" t="s">
        <v>1685</v>
      </c>
      <c r="B1420" t="s">
        <v>1683</v>
      </c>
      <c r="C1420" t="s">
        <v>16</v>
      </c>
      <c r="D1420" t="s">
        <v>17</v>
      </c>
      <c r="E1420" t="s">
        <v>3</v>
      </c>
      <c r="F1420" t="s">
        <v>49</v>
      </c>
      <c r="G1420">
        <v>546.57000000000005</v>
      </c>
      <c r="H1420">
        <v>6</v>
      </c>
      <c r="I1420">
        <v>-125.39</v>
      </c>
    </row>
    <row r="1421" spans="1:9" x14ac:dyDescent="0.35">
      <c r="A1421" t="s">
        <v>1686</v>
      </c>
      <c r="B1421" t="s">
        <v>1683</v>
      </c>
      <c r="C1421" t="s">
        <v>22</v>
      </c>
      <c r="D1421" t="s">
        <v>23</v>
      </c>
      <c r="E1421" t="s">
        <v>4</v>
      </c>
      <c r="F1421" t="s">
        <v>20</v>
      </c>
      <c r="G1421">
        <v>23.33</v>
      </c>
      <c r="H1421">
        <v>1</v>
      </c>
      <c r="I1421">
        <v>4.76</v>
      </c>
    </row>
    <row r="1422" spans="1:9" x14ac:dyDescent="0.35">
      <c r="A1422" t="s">
        <v>1687</v>
      </c>
      <c r="B1422" t="s">
        <v>1683</v>
      </c>
      <c r="C1422" t="s">
        <v>26</v>
      </c>
      <c r="D1422" t="s">
        <v>17</v>
      </c>
      <c r="E1422" t="s">
        <v>3</v>
      </c>
      <c r="F1422" t="s">
        <v>18</v>
      </c>
      <c r="G1422">
        <v>263.45</v>
      </c>
      <c r="H1422">
        <v>9</v>
      </c>
      <c r="I1422">
        <v>-21.78</v>
      </c>
    </row>
    <row r="1423" spans="1:9" x14ac:dyDescent="0.35">
      <c r="A1423" t="s">
        <v>1688</v>
      </c>
      <c r="B1423" t="s">
        <v>1683</v>
      </c>
      <c r="C1423" t="s">
        <v>16</v>
      </c>
      <c r="D1423" t="s">
        <v>17</v>
      </c>
      <c r="E1423" t="s">
        <v>3</v>
      </c>
      <c r="F1423" t="s">
        <v>27</v>
      </c>
      <c r="G1423">
        <v>252.7</v>
      </c>
      <c r="H1423">
        <v>6</v>
      </c>
      <c r="I1423">
        <v>-42.22</v>
      </c>
    </row>
    <row r="1424" spans="1:9" x14ac:dyDescent="0.35">
      <c r="A1424" t="s">
        <v>1689</v>
      </c>
      <c r="B1424" t="s">
        <v>1690</v>
      </c>
      <c r="C1424" t="s">
        <v>26</v>
      </c>
      <c r="D1424" t="s">
        <v>17</v>
      </c>
      <c r="E1424" t="s">
        <v>5</v>
      </c>
      <c r="F1424" t="s">
        <v>29</v>
      </c>
      <c r="G1424">
        <v>72.91</v>
      </c>
      <c r="H1424">
        <v>4</v>
      </c>
      <c r="I1424">
        <v>19.7</v>
      </c>
    </row>
    <row r="1425" spans="1:9" x14ac:dyDescent="0.35">
      <c r="A1425" t="s">
        <v>1691</v>
      </c>
      <c r="B1425" t="s">
        <v>1690</v>
      </c>
      <c r="C1425" t="s">
        <v>26</v>
      </c>
      <c r="D1425" t="s">
        <v>23</v>
      </c>
      <c r="E1425" t="s">
        <v>5</v>
      </c>
      <c r="F1425" t="s">
        <v>41</v>
      </c>
      <c r="G1425">
        <v>41.86</v>
      </c>
      <c r="H1425">
        <v>4</v>
      </c>
      <c r="I1425">
        <v>3.95</v>
      </c>
    </row>
    <row r="1426" spans="1:9" x14ac:dyDescent="0.35">
      <c r="A1426" t="s">
        <v>1692</v>
      </c>
      <c r="B1426" t="s">
        <v>1690</v>
      </c>
      <c r="C1426" t="s">
        <v>26</v>
      </c>
      <c r="D1426" t="s">
        <v>38</v>
      </c>
      <c r="E1426" t="s">
        <v>4</v>
      </c>
      <c r="F1426" t="s">
        <v>24</v>
      </c>
      <c r="G1426">
        <v>43.61</v>
      </c>
      <c r="H1426">
        <v>3</v>
      </c>
      <c r="I1426">
        <v>6.71</v>
      </c>
    </row>
    <row r="1427" spans="1:9" x14ac:dyDescent="0.35">
      <c r="A1427" t="s">
        <v>1693</v>
      </c>
      <c r="B1427" t="s">
        <v>1690</v>
      </c>
      <c r="C1427" t="s">
        <v>16</v>
      </c>
      <c r="D1427" t="s">
        <v>17</v>
      </c>
      <c r="E1427" t="s">
        <v>4</v>
      </c>
      <c r="F1427" t="s">
        <v>39</v>
      </c>
      <c r="G1427">
        <v>199.32</v>
      </c>
      <c r="H1427">
        <v>7</v>
      </c>
      <c r="I1427">
        <v>1.54</v>
      </c>
    </row>
    <row r="1428" spans="1:9" x14ac:dyDescent="0.35">
      <c r="A1428" t="s">
        <v>1694</v>
      </c>
      <c r="B1428" t="s">
        <v>1690</v>
      </c>
      <c r="C1428" t="s">
        <v>22</v>
      </c>
      <c r="D1428" t="s">
        <v>17</v>
      </c>
      <c r="E1428" t="s">
        <v>5</v>
      </c>
      <c r="F1428" t="s">
        <v>31</v>
      </c>
      <c r="G1428">
        <v>174.42</v>
      </c>
      <c r="H1428">
        <v>3</v>
      </c>
      <c r="I1428">
        <v>51.65</v>
      </c>
    </row>
    <row r="1429" spans="1:9" x14ac:dyDescent="0.35">
      <c r="A1429" t="s">
        <v>1695</v>
      </c>
      <c r="B1429" t="s">
        <v>1690</v>
      </c>
      <c r="C1429" t="s">
        <v>16</v>
      </c>
      <c r="D1429" t="s">
        <v>17</v>
      </c>
      <c r="E1429" t="s">
        <v>4</v>
      </c>
      <c r="F1429" t="s">
        <v>24</v>
      </c>
      <c r="G1429">
        <v>249</v>
      </c>
      <c r="H1429">
        <v>2</v>
      </c>
      <c r="I1429">
        <v>14.33</v>
      </c>
    </row>
    <row r="1430" spans="1:9" x14ac:dyDescent="0.35">
      <c r="A1430" t="s">
        <v>1696</v>
      </c>
      <c r="B1430" t="s">
        <v>1697</v>
      </c>
      <c r="C1430" t="s">
        <v>22</v>
      </c>
      <c r="D1430" t="s">
        <v>23</v>
      </c>
      <c r="E1430" t="s">
        <v>4</v>
      </c>
      <c r="F1430" t="s">
        <v>24</v>
      </c>
      <c r="G1430">
        <v>435.84</v>
      </c>
      <c r="H1430">
        <v>8</v>
      </c>
      <c r="I1430">
        <v>45.72</v>
      </c>
    </row>
    <row r="1431" spans="1:9" x14ac:dyDescent="0.35">
      <c r="A1431" t="s">
        <v>1698</v>
      </c>
      <c r="B1431" t="s">
        <v>1697</v>
      </c>
      <c r="C1431" t="s">
        <v>26</v>
      </c>
      <c r="D1431" t="s">
        <v>17</v>
      </c>
      <c r="E1431" t="s">
        <v>4</v>
      </c>
      <c r="F1431" t="s">
        <v>24</v>
      </c>
      <c r="G1431">
        <v>196.61</v>
      </c>
      <c r="H1431">
        <v>4</v>
      </c>
      <c r="I1431">
        <v>35.270000000000003</v>
      </c>
    </row>
    <row r="1432" spans="1:9" x14ac:dyDescent="0.35">
      <c r="A1432" t="s">
        <v>1699</v>
      </c>
      <c r="B1432" t="s">
        <v>1697</v>
      </c>
      <c r="C1432" t="s">
        <v>34</v>
      </c>
      <c r="D1432" t="s">
        <v>38</v>
      </c>
      <c r="E1432" t="s">
        <v>3</v>
      </c>
      <c r="F1432" t="s">
        <v>18</v>
      </c>
      <c r="G1432">
        <v>45.41</v>
      </c>
      <c r="H1432">
        <v>8</v>
      </c>
      <c r="I1432">
        <v>-5.78</v>
      </c>
    </row>
    <row r="1433" spans="1:9" x14ac:dyDescent="0.35">
      <c r="A1433" t="s">
        <v>1700</v>
      </c>
      <c r="B1433" t="s">
        <v>1697</v>
      </c>
      <c r="C1433" t="s">
        <v>26</v>
      </c>
      <c r="D1433" t="s">
        <v>23</v>
      </c>
      <c r="E1433" t="s">
        <v>3</v>
      </c>
      <c r="F1433" t="s">
        <v>49</v>
      </c>
      <c r="G1433">
        <v>61.85</v>
      </c>
      <c r="H1433">
        <v>1</v>
      </c>
      <c r="I1433">
        <v>-3.45</v>
      </c>
    </row>
    <row r="1434" spans="1:9" x14ac:dyDescent="0.35">
      <c r="A1434" t="s">
        <v>1701</v>
      </c>
      <c r="B1434" t="s">
        <v>1697</v>
      </c>
      <c r="C1434" t="s">
        <v>22</v>
      </c>
      <c r="D1434" t="s">
        <v>23</v>
      </c>
      <c r="E1434" t="s">
        <v>3</v>
      </c>
      <c r="F1434" t="s">
        <v>49</v>
      </c>
      <c r="G1434">
        <v>296.95999999999998</v>
      </c>
      <c r="H1434">
        <v>5</v>
      </c>
      <c r="I1434">
        <v>-59.8</v>
      </c>
    </row>
    <row r="1435" spans="1:9" x14ac:dyDescent="0.35">
      <c r="A1435" t="s">
        <v>1702</v>
      </c>
      <c r="B1435" t="s">
        <v>1697</v>
      </c>
      <c r="C1435" t="s">
        <v>16</v>
      </c>
      <c r="D1435" t="s">
        <v>17</v>
      </c>
      <c r="E1435" t="s">
        <v>4</v>
      </c>
      <c r="F1435" t="s">
        <v>39</v>
      </c>
      <c r="G1435">
        <v>55.23</v>
      </c>
      <c r="H1435">
        <v>9</v>
      </c>
      <c r="I1435">
        <v>11.77</v>
      </c>
    </row>
    <row r="1436" spans="1:9" x14ac:dyDescent="0.35">
      <c r="A1436" t="s">
        <v>1703</v>
      </c>
      <c r="B1436" t="s">
        <v>1704</v>
      </c>
      <c r="C1436" t="s">
        <v>26</v>
      </c>
      <c r="D1436" t="s">
        <v>38</v>
      </c>
      <c r="E1436" t="s">
        <v>5</v>
      </c>
      <c r="F1436" t="s">
        <v>31</v>
      </c>
      <c r="G1436">
        <v>31.29</v>
      </c>
      <c r="H1436">
        <v>1</v>
      </c>
      <c r="I1436">
        <v>13.34</v>
      </c>
    </row>
    <row r="1437" spans="1:9" x14ac:dyDescent="0.35">
      <c r="A1437" t="s">
        <v>1705</v>
      </c>
      <c r="B1437" t="s">
        <v>1704</v>
      </c>
      <c r="C1437" t="s">
        <v>16</v>
      </c>
      <c r="D1437" t="s">
        <v>17</v>
      </c>
      <c r="E1437" t="s">
        <v>5</v>
      </c>
      <c r="F1437" t="s">
        <v>29</v>
      </c>
      <c r="G1437">
        <v>202.24</v>
      </c>
      <c r="H1437">
        <v>4</v>
      </c>
      <c r="I1437">
        <v>107.03</v>
      </c>
    </row>
    <row r="1438" spans="1:9" x14ac:dyDescent="0.35">
      <c r="A1438" t="s">
        <v>1706</v>
      </c>
      <c r="B1438" t="s">
        <v>1704</v>
      </c>
      <c r="C1438" t="s">
        <v>16</v>
      </c>
      <c r="D1438" t="s">
        <v>17</v>
      </c>
      <c r="E1438" t="s">
        <v>3</v>
      </c>
      <c r="F1438" t="s">
        <v>49</v>
      </c>
      <c r="G1438">
        <v>97.26</v>
      </c>
      <c r="H1438">
        <v>6</v>
      </c>
      <c r="I1438">
        <v>-3.98</v>
      </c>
    </row>
    <row r="1439" spans="1:9" x14ac:dyDescent="0.35">
      <c r="A1439" t="s">
        <v>1707</v>
      </c>
      <c r="B1439" t="s">
        <v>1704</v>
      </c>
      <c r="C1439" t="s">
        <v>16</v>
      </c>
      <c r="D1439" t="s">
        <v>23</v>
      </c>
      <c r="E1439" t="s">
        <v>4</v>
      </c>
      <c r="F1439" t="s">
        <v>20</v>
      </c>
      <c r="G1439">
        <v>398.93</v>
      </c>
      <c r="H1439">
        <v>8</v>
      </c>
      <c r="I1439">
        <v>91.28</v>
      </c>
    </row>
    <row r="1440" spans="1:9" x14ac:dyDescent="0.35">
      <c r="A1440" t="s">
        <v>1708</v>
      </c>
      <c r="B1440" t="s">
        <v>1704</v>
      </c>
      <c r="C1440" t="s">
        <v>26</v>
      </c>
      <c r="D1440" t="s">
        <v>23</v>
      </c>
      <c r="E1440" t="s">
        <v>5</v>
      </c>
      <c r="F1440" t="s">
        <v>31</v>
      </c>
      <c r="G1440">
        <v>177.58</v>
      </c>
      <c r="H1440">
        <v>3</v>
      </c>
      <c r="I1440">
        <v>12.77</v>
      </c>
    </row>
    <row r="1441" spans="1:9" x14ac:dyDescent="0.35">
      <c r="A1441" t="s">
        <v>1709</v>
      </c>
      <c r="B1441" t="s">
        <v>1704</v>
      </c>
      <c r="C1441" t="s">
        <v>16</v>
      </c>
      <c r="D1441" t="s">
        <v>17</v>
      </c>
      <c r="E1441" t="s">
        <v>4</v>
      </c>
      <c r="F1441" t="s">
        <v>39</v>
      </c>
      <c r="G1441">
        <v>34.22</v>
      </c>
      <c r="H1441">
        <v>5</v>
      </c>
      <c r="I1441">
        <v>10.28</v>
      </c>
    </row>
    <row r="1442" spans="1:9" x14ac:dyDescent="0.35">
      <c r="A1442" t="s">
        <v>1710</v>
      </c>
      <c r="B1442" t="s">
        <v>1711</v>
      </c>
      <c r="C1442" t="s">
        <v>16</v>
      </c>
      <c r="D1442" t="s">
        <v>17</v>
      </c>
      <c r="E1442" t="s">
        <v>4</v>
      </c>
      <c r="F1442" t="s">
        <v>20</v>
      </c>
      <c r="G1442">
        <v>463.06</v>
      </c>
      <c r="H1442">
        <v>7</v>
      </c>
      <c r="I1442">
        <v>105.4</v>
      </c>
    </row>
    <row r="1443" spans="1:9" x14ac:dyDescent="0.35">
      <c r="A1443" t="s">
        <v>1712</v>
      </c>
      <c r="B1443" t="s">
        <v>1711</v>
      </c>
      <c r="C1443" t="s">
        <v>26</v>
      </c>
      <c r="D1443" t="s">
        <v>23</v>
      </c>
      <c r="E1443" t="s">
        <v>5</v>
      </c>
      <c r="F1443" t="s">
        <v>31</v>
      </c>
      <c r="G1443">
        <v>64.87</v>
      </c>
      <c r="H1443">
        <v>1</v>
      </c>
      <c r="I1443">
        <v>13.08</v>
      </c>
    </row>
    <row r="1444" spans="1:9" x14ac:dyDescent="0.35">
      <c r="A1444" t="s">
        <v>1713</v>
      </c>
      <c r="B1444" t="s">
        <v>1711</v>
      </c>
      <c r="C1444" t="s">
        <v>16</v>
      </c>
      <c r="D1444" t="s">
        <v>17</v>
      </c>
      <c r="E1444" t="s">
        <v>4</v>
      </c>
      <c r="F1444" t="s">
        <v>20</v>
      </c>
      <c r="G1444">
        <v>81.7</v>
      </c>
      <c r="H1444">
        <v>7</v>
      </c>
      <c r="I1444">
        <v>22.36</v>
      </c>
    </row>
    <row r="1445" spans="1:9" x14ac:dyDescent="0.35">
      <c r="A1445" t="s">
        <v>1714</v>
      </c>
      <c r="B1445" t="s">
        <v>1711</v>
      </c>
      <c r="C1445" t="s">
        <v>26</v>
      </c>
      <c r="D1445" t="s">
        <v>38</v>
      </c>
      <c r="E1445" t="s">
        <v>3</v>
      </c>
      <c r="F1445" t="s">
        <v>49</v>
      </c>
      <c r="G1445">
        <v>97.19</v>
      </c>
      <c r="H1445">
        <v>8</v>
      </c>
      <c r="I1445">
        <v>-7.33</v>
      </c>
    </row>
    <row r="1446" spans="1:9" x14ac:dyDescent="0.35">
      <c r="A1446" t="s">
        <v>1715</v>
      </c>
      <c r="B1446" t="s">
        <v>1711</v>
      </c>
      <c r="C1446" t="s">
        <v>22</v>
      </c>
      <c r="D1446" t="s">
        <v>23</v>
      </c>
      <c r="E1446" t="s">
        <v>4</v>
      </c>
      <c r="F1446" t="s">
        <v>39</v>
      </c>
      <c r="G1446">
        <v>27.89</v>
      </c>
      <c r="H1446">
        <v>8</v>
      </c>
      <c r="I1446">
        <v>2.91</v>
      </c>
    </row>
    <row r="1447" spans="1:9" x14ac:dyDescent="0.35">
      <c r="A1447" t="s">
        <v>1716</v>
      </c>
      <c r="B1447" t="s">
        <v>1711</v>
      </c>
      <c r="C1447" t="s">
        <v>22</v>
      </c>
      <c r="D1447" t="s">
        <v>17</v>
      </c>
      <c r="E1447" t="s">
        <v>5</v>
      </c>
      <c r="F1447" t="s">
        <v>31</v>
      </c>
      <c r="G1447">
        <v>122.93</v>
      </c>
      <c r="H1447">
        <v>9</v>
      </c>
      <c r="I1447">
        <v>36.58</v>
      </c>
    </row>
    <row r="1448" spans="1:9" x14ac:dyDescent="0.35">
      <c r="A1448" t="s">
        <v>1717</v>
      </c>
      <c r="B1448" t="s">
        <v>1718</v>
      </c>
      <c r="C1448" t="s">
        <v>22</v>
      </c>
      <c r="D1448" t="s">
        <v>17</v>
      </c>
      <c r="E1448" t="s">
        <v>4</v>
      </c>
      <c r="F1448" t="s">
        <v>24</v>
      </c>
      <c r="G1448">
        <v>39.74</v>
      </c>
      <c r="H1448">
        <v>6</v>
      </c>
      <c r="I1448">
        <v>1.74</v>
      </c>
    </row>
    <row r="1449" spans="1:9" x14ac:dyDescent="0.35">
      <c r="A1449" t="s">
        <v>1719</v>
      </c>
      <c r="B1449" t="s">
        <v>1718</v>
      </c>
      <c r="C1449" t="s">
        <v>16</v>
      </c>
      <c r="D1449" t="s">
        <v>17</v>
      </c>
      <c r="E1449" t="s">
        <v>4</v>
      </c>
      <c r="F1449" t="s">
        <v>24</v>
      </c>
      <c r="G1449">
        <v>96.87</v>
      </c>
      <c r="H1449">
        <v>6</v>
      </c>
      <c r="I1449">
        <v>24.43</v>
      </c>
    </row>
    <row r="1450" spans="1:9" x14ac:dyDescent="0.35">
      <c r="A1450" t="s">
        <v>1720</v>
      </c>
      <c r="B1450" t="s">
        <v>1718</v>
      </c>
      <c r="C1450" t="s">
        <v>34</v>
      </c>
      <c r="D1450" t="s">
        <v>23</v>
      </c>
      <c r="E1450" t="s">
        <v>4</v>
      </c>
      <c r="F1450" t="s">
        <v>20</v>
      </c>
      <c r="G1450">
        <v>84.78</v>
      </c>
      <c r="H1450">
        <v>2</v>
      </c>
      <c r="I1450">
        <v>3.76</v>
      </c>
    </row>
    <row r="1451" spans="1:9" x14ac:dyDescent="0.35">
      <c r="A1451" t="s">
        <v>1721</v>
      </c>
      <c r="B1451" t="s">
        <v>1718</v>
      </c>
      <c r="C1451" t="s">
        <v>34</v>
      </c>
      <c r="D1451" t="s">
        <v>23</v>
      </c>
      <c r="E1451" t="s">
        <v>4</v>
      </c>
      <c r="F1451" t="s">
        <v>20</v>
      </c>
      <c r="G1451">
        <v>242.32</v>
      </c>
      <c r="H1451">
        <v>3</v>
      </c>
      <c r="I1451">
        <v>10.9</v>
      </c>
    </row>
    <row r="1452" spans="1:9" x14ac:dyDescent="0.35">
      <c r="A1452" t="s">
        <v>1722</v>
      </c>
      <c r="B1452" t="s">
        <v>1718</v>
      </c>
      <c r="C1452" t="s">
        <v>16</v>
      </c>
      <c r="D1452" t="s">
        <v>17</v>
      </c>
      <c r="E1452" t="s">
        <v>3</v>
      </c>
      <c r="F1452" t="s">
        <v>18</v>
      </c>
      <c r="G1452">
        <v>263.81</v>
      </c>
      <c r="H1452">
        <v>4</v>
      </c>
      <c r="I1452">
        <v>-37.19</v>
      </c>
    </row>
    <row r="1453" spans="1:9" x14ac:dyDescent="0.35">
      <c r="A1453" t="s">
        <v>1723</v>
      </c>
      <c r="B1453" t="s">
        <v>1718</v>
      </c>
      <c r="C1453" t="s">
        <v>34</v>
      </c>
      <c r="D1453" t="s">
        <v>23</v>
      </c>
      <c r="E1453" t="s">
        <v>4</v>
      </c>
      <c r="F1453" t="s">
        <v>24</v>
      </c>
      <c r="G1453">
        <v>44.98</v>
      </c>
      <c r="H1453">
        <v>4</v>
      </c>
      <c r="I1453">
        <v>10.16</v>
      </c>
    </row>
    <row r="1454" spans="1:9" x14ac:dyDescent="0.35">
      <c r="A1454" t="s">
        <v>1724</v>
      </c>
      <c r="B1454" t="s">
        <v>1725</v>
      </c>
      <c r="C1454" t="s">
        <v>26</v>
      </c>
      <c r="D1454" t="s">
        <v>38</v>
      </c>
      <c r="E1454" t="s">
        <v>4</v>
      </c>
      <c r="F1454" t="s">
        <v>39</v>
      </c>
      <c r="G1454">
        <v>88.49</v>
      </c>
      <c r="H1454">
        <v>8</v>
      </c>
      <c r="I1454">
        <v>7.82</v>
      </c>
    </row>
    <row r="1455" spans="1:9" x14ac:dyDescent="0.35">
      <c r="A1455" t="s">
        <v>1726</v>
      </c>
      <c r="B1455" t="s">
        <v>1725</v>
      </c>
      <c r="C1455" t="s">
        <v>34</v>
      </c>
      <c r="D1455" t="s">
        <v>17</v>
      </c>
      <c r="E1455" t="s">
        <v>3</v>
      </c>
      <c r="F1455" t="s">
        <v>49</v>
      </c>
      <c r="G1455">
        <v>90.11</v>
      </c>
      <c r="H1455">
        <v>1</v>
      </c>
      <c r="I1455">
        <v>-16.649999999999999</v>
      </c>
    </row>
    <row r="1456" spans="1:9" x14ac:dyDescent="0.35">
      <c r="A1456" t="s">
        <v>1727</v>
      </c>
      <c r="B1456" t="s">
        <v>1725</v>
      </c>
      <c r="C1456" t="s">
        <v>16</v>
      </c>
      <c r="D1456" t="s">
        <v>38</v>
      </c>
      <c r="E1456" t="s">
        <v>5</v>
      </c>
      <c r="F1456" t="s">
        <v>29</v>
      </c>
      <c r="G1456">
        <v>44.63</v>
      </c>
      <c r="H1456">
        <v>4</v>
      </c>
      <c r="I1456">
        <v>8.4499999999999993</v>
      </c>
    </row>
    <row r="1457" spans="1:9" x14ac:dyDescent="0.35">
      <c r="A1457" t="s">
        <v>1728</v>
      </c>
      <c r="B1457" t="s">
        <v>1725</v>
      </c>
      <c r="C1457" t="s">
        <v>16</v>
      </c>
      <c r="D1457" t="s">
        <v>17</v>
      </c>
      <c r="E1457" t="s">
        <v>4</v>
      </c>
      <c r="F1457" t="s">
        <v>20</v>
      </c>
      <c r="G1457">
        <v>260.26</v>
      </c>
      <c r="H1457">
        <v>4</v>
      </c>
      <c r="I1457">
        <v>38.21</v>
      </c>
    </row>
    <row r="1458" spans="1:9" x14ac:dyDescent="0.35">
      <c r="A1458" t="s">
        <v>1729</v>
      </c>
      <c r="B1458" t="s">
        <v>1725</v>
      </c>
      <c r="C1458" t="s">
        <v>26</v>
      </c>
      <c r="D1458" t="s">
        <v>17</v>
      </c>
      <c r="E1458" t="s">
        <v>4</v>
      </c>
      <c r="F1458" t="s">
        <v>39</v>
      </c>
      <c r="G1458">
        <v>204.25</v>
      </c>
      <c r="H1458">
        <v>1</v>
      </c>
      <c r="I1458">
        <v>6.52</v>
      </c>
    </row>
    <row r="1459" spans="1:9" x14ac:dyDescent="0.35">
      <c r="A1459" t="s">
        <v>1730</v>
      </c>
      <c r="B1459" t="s">
        <v>1725</v>
      </c>
      <c r="C1459" t="s">
        <v>22</v>
      </c>
      <c r="D1459" t="s">
        <v>17</v>
      </c>
      <c r="E1459" t="s">
        <v>4</v>
      </c>
      <c r="F1459" t="s">
        <v>39</v>
      </c>
      <c r="G1459">
        <v>51.68</v>
      </c>
      <c r="H1459">
        <v>3</v>
      </c>
      <c r="I1459">
        <v>1.8</v>
      </c>
    </row>
    <row r="1460" spans="1:9" x14ac:dyDescent="0.35">
      <c r="A1460" t="s">
        <v>1731</v>
      </c>
      <c r="B1460" t="s">
        <v>1732</v>
      </c>
      <c r="C1460" t="s">
        <v>16</v>
      </c>
      <c r="D1460" t="s">
        <v>17</v>
      </c>
      <c r="E1460" t="s">
        <v>5</v>
      </c>
      <c r="F1460" t="s">
        <v>29</v>
      </c>
      <c r="G1460">
        <v>88.53</v>
      </c>
      <c r="H1460">
        <v>5</v>
      </c>
      <c r="I1460">
        <v>40.82</v>
      </c>
    </row>
    <row r="1461" spans="1:9" x14ac:dyDescent="0.35">
      <c r="A1461" t="s">
        <v>1733</v>
      </c>
      <c r="B1461" t="s">
        <v>1732</v>
      </c>
      <c r="C1461" t="s">
        <v>26</v>
      </c>
      <c r="D1461" t="s">
        <v>17</v>
      </c>
      <c r="E1461" t="s">
        <v>4</v>
      </c>
      <c r="F1461" t="s">
        <v>20</v>
      </c>
      <c r="G1461">
        <v>36.770000000000003</v>
      </c>
      <c r="H1461">
        <v>6</v>
      </c>
      <c r="I1461">
        <v>2.35</v>
      </c>
    </row>
    <row r="1462" spans="1:9" x14ac:dyDescent="0.35">
      <c r="A1462" t="s">
        <v>1734</v>
      </c>
      <c r="B1462" t="s">
        <v>1732</v>
      </c>
      <c r="C1462" t="s">
        <v>34</v>
      </c>
      <c r="D1462" t="s">
        <v>17</v>
      </c>
      <c r="E1462" t="s">
        <v>3</v>
      </c>
      <c r="F1462" t="s">
        <v>49</v>
      </c>
      <c r="G1462">
        <v>168.41</v>
      </c>
      <c r="H1462">
        <v>9</v>
      </c>
      <c r="I1462">
        <v>-13.86</v>
      </c>
    </row>
    <row r="1463" spans="1:9" x14ac:dyDescent="0.35">
      <c r="A1463" t="s">
        <v>1735</v>
      </c>
      <c r="B1463" t="s">
        <v>1732</v>
      </c>
      <c r="C1463" t="s">
        <v>34</v>
      </c>
      <c r="D1463" t="s">
        <v>38</v>
      </c>
      <c r="E1463" t="s">
        <v>4</v>
      </c>
      <c r="F1463" t="s">
        <v>24</v>
      </c>
      <c r="G1463">
        <v>39.409999999999997</v>
      </c>
      <c r="H1463">
        <v>9</v>
      </c>
      <c r="I1463">
        <v>4.46</v>
      </c>
    </row>
    <row r="1464" spans="1:9" x14ac:dyDescent="0.35">
      <c r="A1464" t="s">
        <v>1736</v>
      </c>
      <c r="B1464" t="s">
        <v>1732</v>
      </c>
      <c r="C1464" t="s">
        <v>26</v>
      </c>
      <c r="D1464" t="s">
        <v>38</v>
      </c>
      <c r="E1464" t="s">
        <v>5</v>
      </c>
      <c r="F1464" t="s">
        <v>29</v>
      </c>
      <c r="G1464">
        <v>659.6</v>
      </c>
      <c r="H1464">
        <v>9</v>
      </c>
      <c r="I1464">
        <v>137.11000000000001</v>
      </c>
    </row>
    <row r="1465" spans="1:9" x14ac:dyDescent="0.35">
      <c r="A1465" t="s">
        <v>1737</v>
      </c>
      <c r="B1465" t="s">
        <v>1732</v>
      </c>
      <c r="C1465" t="s">
        <v>26</v>
      </c>
      <c r="D1465" t="s">
        <v>23</v>
      </c>
      <c r="E1465" t="s">
        <v>4</v>
      </c>
      <c r="F1465" t="s">
        <v>39</v>
      </c>
      <c r="G1465">
        <v>247.58</v>
      </c>
      <c r="H1465">
        <v>1</v>
      </c>
      <c r="I1465">
        <v>52.52</v>
      </c>
    </row>
    <row r="1466" spans="1:9" x14ac:dyDescent="0.35">
      <c r="A1466" t="s">
        <v>1738</v>
      </c>
      <c r="B1466" t="s">
        <v>1739</v>
      </c>
      <c r="C1466" t="s">
        <v>16</v>
      </c>
      <c r="D1466" t="s">
        <v>17</v>
      </c>
      <c r="E1466" t="s">
        <v>4</v>
      </c>
      <c r="F1466" t="s">
        <v>39</v>
      </c>
      <c r="G1466">
        <v>94.2</v>
      </c>
      <c r="H1466">
        <v>9</v>
      </c>
      <c r="I1466">
        <v>23.06</v>
      </c>
    </row>
    <row r="1467" spans="1:9" x14ac:dyDescent="0.35">
      <c r="A1467" t="s">
        <v>1740</v>
      </c>
      <c r="B1467" t="s">
        <v>1739</v>
      </c>
      <c r="C1467" t="s">
        <v>34</v>
      </c>
      <c r="D1467" t="s">
        <v>17</v>
      </c>
      <c r="E1467" t="s">
        <v>5</v>
      </c>
      <c r="F1467" t="s">
        <v>41</v>
      </c>
      <c r="G1467">
        <v>149.61000000000001</v>
      </c>
      <c r="H1467">
        <v>8</v>
      </c>
      <c r="I1467">
        <v>32.83</v>
      </c>
    </row>
    <row r="1468" spans="1:9" x14ac:dyDescent="0.35">
      <c r="A1468" t="s">
        <v>1741</v>
      </c>
      <c r="B1468" t="s">
        <v>1739</v>
      </c>
      <c r="C1468" t="s">
        <v>26</v>
      </c>
      <c r="D1468" t="s">
        <v>17</v>
      </c>
      <c r="E1468" t="s">
        <v>4</v>
      </c>
      <c r="F1468" t="s">
        <v>39</v>
      </c>
      <c r="G1468">
        <v>383.45</v>
      </c>
      <c r="H1468">
        <v>2</v>
      </c>
      <c r="I1468">
        <v>10.1</v>
      </c>
    </row>
    <row r="1469" spans="1:9" x14ac:dyDescent="0.35">
      <c r="A1469" t="s">
        <v>1742</v>
      </c>
      <c r="B1469" t="s">
        <v>1739</v>
      </c>
      <c r="C1469" t="s">
        <v>34</v>
      </c>
      <c r="D1469" t="s">
        <v>23</v>
      </c>
      <c r="E1469" t="s">
        <v>3</v>
      </c>
      <c r="F1469" t="s">
        <v>27</v>
      </c>
      <c r="G1469">
        <v>141.15</v>
      </c>
      <c r="H1469">
        <v>1</v>
      </c>
      <c r="I1469">
        <v>10.93</v>
      </c>
    </row>
    <row r="1470" spans="1:9" x14ac:dyDescent="0.35">
      <c r="A1470" t="s">
        <v>1743</v>
      </c>
      <c r="B1470" t="s">
        <v>1739</v>
      </c>
      <c r="C1470" t="s">
        <v>26</v>
      </c>
      <c r="D1470" t="s">
        <v>38</v>
      </c>
      <c r="E1470" t="s">
        <v>4</v>
      </c>
      <c r="F1470" t="s">
        <v>39</v>
      </c>
      <c r="G1470">
        <v>48.76</v>
      </c>
      <c r="H1470">
        <v>1</v>
      </c>
      <c r="I1470">
        <v>6.85</v>
      </c>
    </row>
    <row r="1471" spans="1:9" x14ac:dyDescent="0.35">
      <c r="A1471" t="s">
        <v>1744</v>
      </c>
      <c r="B1471" t="s">
        <v>1739</v>
      </c>
      <c r="C1471" t="s">
        <v>34</v>
      </c>
      <c r="D1471" t="s">
        <v>17</v>
      </c>
      <c r="E1471" t="s">
        <v>4</v>
      </c>
      <c r="F1471" t="s">
        <v>20</v>
      </c>
      <c r="G1471">
        <v>91.39</v>
      </c>
      <c r="H1471">
        <v>6</v>
      </c>
      <c r="I1471">
        <v>29.52</v>
      </c>
    </row>
    <row r="1472" spans="1:9" x14ac:dyDescent="0.35">
      <c r="A1472" t="s">
        <v>1745</v>
      </c>
      <c r="B1472" t="s">
        <v>1746</v>
      </c>
      <c r="C1472" t="s">
        <v>22</v>
      </c>
      <c r="D1472" t="s">
        <v>17</v>
      </c>
      <c r="E1472" t="s">
        <v>3</v>
      </c>
      <c r="F1472" t="s">
        <v>27</v>
      </c>
      <c r="G1472">
        <v>297.86</v>
      </c>
      <c r="H1472">
        <v>9</v>
      </c>
      <c r="I1472">
        <v>-81.78</v>
      </c>
    </row>
    <row r="1473" spans="1:9" x14ac:dyDescent="0.35">
      <c r="A1473" t="s">
        <v>1747</v>
      </c>
      <c r="B1473" t="s">
        <v>1746</v>
      </c>
      <c r="C1473" t="s">
        <v>16</v>
      </c>
      <c r="D1473" t="s">
        <v>23</v>
      </c>
      <c r="E1473" t="s">
        <v>4</v>
      </c>
      <c r="F1473" t="s">
        <v>39</v>
      </c>
      <c r="G1473">
        <v>175.01</v>
      </c>
      <c r="H1473">
        <v>7</v>
      </c>
      <c r="I1473">
        <v>29.67</v>
      </c>
    </row>
    <row r="1474" spans="1:9" x14ac:dyDescent="0.35">
      <c r="A1474" t="s">
        <v>1748</v>
      </c>
      <c r="B1474" t="s">
        <v>1746</v>
      </c>
      <c r="C1474" t="s">
        <v>34</v>
      </c>
      <c r="D1474" t="s">
        <v>17</v>
      </c>
      <c r="E1474" t="s">
        <v>4</v>
      </c>
      <c r="F1474" t="s">
        <v>24</v>
      </c>
      <c r="G1474">
        <v>177.78</v>
      </c>
      <c r="H1474">
        <v>5</v>
      </c>
      <c r="I1474">
        <v>60.78</v>
      </c>
    </row>
    <row r="1475" spans="1:9" x14ac:dyDescent="0.35">
      <c r="A1475" t="s">
        <v>1749</v>
      </c>
      <c r="B1475" t="s">
        <v>1746</v>
      </c>
      <c r="C1475" t="s">
        <v>22</v>
      </c>
      <c r="D1475" t="s">
        <v>17</v>
      </c>
      <c r="E1475" t="s">
        <v>3</v>
      </c>
      <c r="F1475" t="s">
        <v>18</v>
      </c>
      <c r="G1475">
        <v>322.41000000000003</v>
      </c>
      <c r="H1475">
        <v>2</v>
      </c>
      <c r="I1475">
        <v>-27.51</v>
      </c>
    </row>
    <row r="1476" spans="1:9" x14ac:dyDescent="0.35">
      <c r="A1476" t="s">
        <v>1750</v>
      </c>
      <c r="B1476" t="s">
        <v>1746</v>
      </c>
      <c r="C1476" t="s">
        <v>34</v>
      </c>
      <c r="D1476" t="s">
        <v>23</v>
      </c>
      <c r="E1476" t="s">
        <v>3</v>
      </c>
      <c r="F1476" t="s">
        <v>49</v>
      </c>
      <c r="G1476">
        <v>356.61</v>
      </c>
      <c r="H1476">
        <v>1</v>
      </c>
      <c r="I1476">
        <v>-25.87</v>
      </c>
    </row>
    <row r="1477" spans="1:9" x14ac:dyDescent="0.35">
      <c r="A1477" t="s">
        <v>1751</v>
      </c>
      <c r="B1477" t="s">
        <v>1746</v>
      </c>
      <c r="C1477" t="s">
        <v>34</v>
      </c>
      <c r="D1477" t="s">
        <v>23</v>
      </c>
      <c r="E1477" t="s">
        <v>4</v>
      </c>
      <c r="F1477" t="s">
        <v>20</v>
      </c>
      <c r="G1477">
        <v>398.47</v>
      </c>
      <c r="H1477">
        <v>2</v>
      </c>
      <c r="I1477">
        <v>71.55</v>
      </c>
    </row>
    <row r="1478" spans="1:9" x14ac:dyDescent="0.35">
      <c r="A1478" t="s">
        <v>1752</v>
      </c>
      <c r="B1478" t="s">
        <v>1753</v>
      </c>
      <c r="C1478" t="s">
        <v>22</v>
      </c>
      <c r="D1478" t="s">
        <v>17</v>
      </c>
      <c r="E1478" t="s">
        <v>4</v>
      </c>
      <c r="F1478" t="s">
        <v>39</v>
      </c>
      <c r="G1478">
        <v>34.950000000000003</v>
      </c>
      <c r="H1478">
        <v>1</v>
      </c>
      <c r="I1478">
        <v>3.29</v>
      </c>
    </row>
    <row r="1479" spans="1:9" x14ac:dyDescent="0.35">
      <c r="A1479" t="s">
        <v>1754</v>
      </c>
      <c r="B1479" t="s">
        <v>1753</v>
      </c>
      <c r="C1479" t="s">
        <v>34</v>
      </c>
      <c r="D1479" t="s">
        <v>17</v>
      </c>
      <c r="E1479" t="s">
        <v>4</v>
      </c>
      <c r="F1479" t="s">
        <v>39</v>
      </c>
      <c r="G1479">
        <v>137.83000000000001</v>
      </c>
      <c r="H1479">
        <v>3</v>
      </c>
      <c r="I1479">
        <v>16.37</v>
      </c>
    </row>
    <row r="1480" spans="1:9" x14ac:dyDescent="0.35">
      <c r="A1480" t="s">
        <v>1755</v>
      </c>
      <c r="B1480" t="s">
        <v>1753</v>
      </c>
      <c r="C1480" t="s">
        <v>34</v>
      </c>
      <c r="D1480" t="s">
        <v>38</v>
      </c>
      <c r="E1480" t="s">
        <v>4</v>
      </c>
      <c r="F1480" t="s">
        <v>39</v>
      </c>
      <c r="G1480">
        <v>222.36</v>
      </c>
      <c r="H1480">
        <v>6</v>
      </c>
      <c r="I1480">
        <v>25.84</v>
      </c>
    </row>
    <row r="1481" spans="1:9" x14ac:dyDescent="0.35">
      <c r="A1481" t="s">
        <v>1756</v>
      </c>
      <c r="B1481" t="s">
        <v>1753</v>
      </c>
      <c r="C1481" t="s">
        <v>16</v>
      </c>
      <c r="D1481" t="s">
        <v>17</v>
      </c>
      <c r="E1481" t="s">
        <v>3</v>
      </c>
      <c r="F1481" t="s">
        <v>49</v>
      </c>
      <c r="G1481">
        <v>232.16</v>
      </c>
      <c r="H1481">
        <v>8</v>
      </c>
      <c r="I1481">
        <v>-26.17</v>
      </c>
    </row>
    <row r="1482" spans="1:9" x14ac:dyDescent="0.35">
      <c r="A1482" t="s">
        <v>1757</v>
      </c>
      <c r="B1482" t="s">
        <v>1753</v>
      </c>
      <c r="C1482" t="s">
        <v>22</v>
      </c>
      <c r="D1482" t="s">
        <v>17</v>
      </c>
      <c r="E1482" t="s">
        <v>4</v>
      </c>
      <c r="F1482" t="s">
        <v>39</v>
      </c>
      <c r="G1482">
        <v>159.97999999999999</v>
      </c>
      <c r="H1482">
        <v>3</v>
      </c>
      <c r="I1482">
        <v>43.66</v>
      </c>
    </row>
    <row r="1483" spans="1:9" x14ac:dyDescent="0.35">
      <c r="A1483" t="s">
        <v>1758</v>
      </c>
      <c r="B1483" t="s">
        <v>1753</v>
      </c>
      <c r="C1483" t="s">
        <v>22</v>
      </c>
      <c r="D1483" t="s">
        <v>17</v>
      </c>
      <c r="E1483" t="s">
        <v>5</v>
      </c>
      <c r="F1483" t="s">
        <v>31</v>
      </c>
      <c r="G1483">
        <v>47.37</v>
      </c>
      <c r="H1483">
        <v>9</v>
      </c>
      <c r="I1483">
        <v>14.03</v>
      </c>
    </row>
    <row r="1484" spans="1:9" x14ac:dyDescent="0.35">
      <c r="A1484" t="s">
        <v>1759</v>
      </c>
      <c r="B1484" t="s">
        <v>1760</v>
      </c>
      <c r="C1484" t="s">
        <v>26</v>
      </c>
      <c r="D1484" t="s">
        <v>17</v>
      </c>
      <c r="E1484" t="s">
        <v>3</v>
      </c>
      <c r="F1484" t="s">
        <v>49</v>
      </c>
      <c r="G1484">
        <v>259.49</v>
      </c>
      <c r="H1484">
        <v>5</v>
      </c>
      <c r="I1484">
        <v>-6.47</v>
      </c>
    </row>
    <row r="1485" spans="1:9" x14ac:dyDescent="0.35">
      <c r="A1485" t="s">
        <v>1761</v>
      </c>
      <c r="B1485" t="s">
        <v>1760</v>
      </c>
      <c r="C1485" t="s">
        <v>34</v>
      </c>
      <c r="D1485" t="s">
        <v>17</v>
      </c>
      <c r="E1485" t="s">
        <v>5</v>
      </c>
      <c r="F1485" t="s">
        <v>41</v>
      </c>
      <c r="G1485">
        <v>211</v>
      </c>
      <c r="H1485">
        <v>7</v>
      </c>
      <c r="I1485">
        <v>69.81</v>
      </c>
    </row>
    <row r="1486" spans="1:9" x14ac:dyDescent="0.35">
      <c r="A1486" t="s">
        <v>1762</v>
      </c>
      <c r="B1486" t="s">
        <v>1760</v>
      </c>
      <c r="C1486" t="s">
        <v>16</v>
      </c>
      <c r="D1486" t="s">
        <v>38</v>
      </c>
      <c r="E1486" t="s">
        <v>3</v>
      </c>
      <c r="F1486" t="s">
        <v>27</v>
      </c>
      <c r="G1486">
        <v>33.51</v>
      </c>
      <c r="H1486">
        <v>8</v>
      </c>
      <c r="I1486">
        <v>-2.56</v>
      </c>
    </row>
    <row r="1487" spans="1:9" x14ac:dyDescent="0.35">
      <c r="A1487" t="s">
        <v>1763</v>
      </c>
      <c r="B1487" t="s">
        <v>1760</v>
      </c>
      <c r="C1487" t="s">
        <v>34</v>
      </c>
      <c r="D1487" t="s">
        <v>17</v>
      </c>
      <c r="E1487" t="s">
        <v>3</v>
      </c>
      <c r="F1487" t="s">
        <v>27</v>
      </c>
      <c r="G1487">
        <v>113.49</v>
      </c>
      <c r="H1487">
        <v>3</v>
      </c>
      <c r="I1487">
        <v>-14.46</v>
      </c>
    </row>
    <row r="1488" spans="1:9" x14ac:dyDescent="0.35">
      <c r="A1488" t="s">
        <v>1764</v>
      </c>
      <c r="B1488" t="s">
        <v>1760</v>
      </c>
      <c r="C1488" t="s">
        <v>34</v>
      </c>
      <c r="D1488" t="s">
        <v>17</v>
      </c>
      <c r="E1488" t="s">
        <v>3</v>
      </c>
      <c r="F1488" t="s">
        <v>27</v>
      </c>
      <c r="G1488">
        <v>48.67</v>
      </c>
      <c r="H1488">
        <v>2</v>
      </c>
      <c r="I1488">
        <v>-5.37</v>
      </c>
    </row>
    <row r="1489" spans="1:9" x14ac:dyDescent="0.35">
      <c r="A1489" t="s">
        <v>1765</v>
      </c>
      <c r="B1489" t="s">
        <v>1760</v>
      </c>
      <c r="C1489" t="s">
        <v>26</v>
      </c>
      <c r="D1489" t="s">
        <v>23</v>
      </c>
      <c r="E1489" t="s">
        <v>4</v>
      </c>
      <c r="F1489" t="s">
        <v>24</v>
      </c>
      <c r="G1489">
        <v>81.760000000000005</v>
      </c>
      <c r="H1489">
        <v>2</v>
      </c>
      <c r="I1489">
        <v>12.28</v>
      </c>
    </row>
    <row r="1490" spans="1:9" x14ac:dyDescent="0.35">
      <c r="A1490" t="s">
        <v>1766</v>
      </c>
      <c r="B1490" t="s">
        <v>1767</v>
      </c>
      <c r="C1490" t="s">
        <v>34</v>
      </c>
      <c r="D1490" t="s">
        <v>23</v>
      </c>
      <c r="E1490" t="s">
        <v>3</v>
      </c>
      <c r="F1490" t="s">
        <v>27</v>
      </c>
      <c r="G1490">
        <v>22.74</v>
      </c>
      <c r="H1490">
        <v>5</v>
      </c>
      <c r="I1490">
        <v>-3.55</v>
      </c>
    </row>
    <row r="1491" spans="1:9" x14ac:dyDescent="0.35">
      <c r="A1491" t="s">
        <v>1768</v>
      </c>
      <c r="B1491" t="s">
        <v>1767</v>
      </c>
      <c r="C1491" t="s">
        <v>16</v>
      </c>
      <c r="D1491" t="s">
        <v>38</v>
      </c>
      <c r="E1491" t="s">
        <v>3</v>
      </c>
      <c r="F1491" t="s">
        <v>27</v>
      </c>
      <c r="G1491">
        <v>96.71</v>
      </c>
      <c r="H1491">
        <v>1</v>
      </c>
      <c r="I1491">
        <v>-9.67</v>
      </c>
    </row>
    <row r="1492" spans="1:9" x14ac:dyDescent="0.35">
      <c r="A1492" t="s">
        <v>1769</v>
      </c>
      <c r="B1492" t="s">
        <v>1767</v>
      </c>
      <c r="C1492" t="s">
        <v>16</v>
      </c>
      <c r="D1492" t="s">
        <v>38</v>
      </c>
      <c r="E1492" t="s">
        <v>5</v>
      </c>
      <c r="F1492" t="s">
        <v>41</v>
      </c>
      <c r="G1492">
        <v>139.74</v>
      </c>
      <c r="H1492">
        <v>2</v>
      </c>
      <c r="I1492">
        <v>27.72</v>
      </c>
    </row>
    <row r="1493" spans="1:9" x14ac:dyDescent="0.35">
      <c r="A1493" t="s">
        <v>1770</v>
      </c>
      <c r="B1493" t="s">
        <v>1767</v>
      </c>
      <c r="C1493" t="s">
        <v>26</v>
      </c>
      <c r="D1493" t="s">
        <v>17</v>
      </c>
      <c r="E1493" t="s">
        <v>3</v>
      </c>
      <c r="F1493" t="s">
        <v>49</v>
      </c>
      <c r="G1493">
        <v>164.97</v>
      </c>
      <c r="H1493">
        <v>9</v>
      </c>
      <c r="I1493">
        <v>26.8</v>
      </c>
    </row>
    <row r="1494" spans="1:9" x14ac:dyDescent="0.35">
      <c r="A1494" t="s">
        <v>1771</v>
      </c>
      <c r="B1494" t="s">
        <v>1767</v>
      </c>
      <c r="C1494" t="s">
        <v>34</v>
      </c>
      <c r="D1494" t="s">
        <v>23</v>
      </c>
      <c r="E1494" t="s">
        <v>5</v>
      </c>
      <c r="F1494" t="s">
        <v>29</v>
      </c>
      <c r="G1494">
        <v>183.37</v>
      </c>
      <c r="H1494">
        <v>7</v>
      </c>
      <c r="I1494">
        <v>-5.0199999999999996</v>
      </c>
    </row>
    <row r="1495" spans="1:9" x14ac:dyDescent="0.35">
      <c r="A1495" t="s">
        <v>1772</v>
      </c>
      <c r="B1495" t="s">
        <v>1767</v>
      </c>
      <c r="C1495" t="s">
        <v>16</v>
      </c>
      <c r="D1495" t="s">
        <v>17</v>
      </c>
      <c r="E1495" t="s">
        <v>5</v>
      </c>
      <c r="F1495" t="s">
        <v>41</v>
      </c>
      <c r="G1495">
        <v>291.45</v>
      </c>
      <c r="H1495">
        <v>6</v>
      </c>
      <c r="I1495">
        <v>67.63</v>
      </c>
    </row>
    <row r="1496" spans="1:9" x14ac:dyDescent="0.35">
      <c r="A1496" t="s">
        <v>1773</v>
      </c>
      <c r="B1496" t="s">
        <v>1774</v>
      </c>
      <c r="C1496" t="s">
        <v>34</v>
      </c>
      <c r="D1496" t="s">
        <v>38</v>
      </c>
      <c r="E1496" t="s">
        <v>4</v>
      </c>
      <c r="F1496" t="s">
        <v>39</v>
      </c>
      <c r="G1496">
        <v>56.4</v>
      </c>
      <c r="H1496">
        <v>9</v>
      </c>
      <c r="I1496">
        <v>18.190000000000001</v>
      </c>
    </row>
    <row r="1497" spans="1:9" x14ac:dyDescent="0.35">
      <c r="A1497" t="s">
        <v>1775</v>
      </c>
      <c r="B1497" t="s">
        <v>1774</v>
      </c>
      <c r="C1497" t="s">
        <v>34</v>
      </c>
      <c r="D1497" t="s">
        <v>17</v>
      </c>
      <c r="E1497" t="s">
        <v>4</v>
      </c>
      <c r="F1497" t="s">
        <v>24</v>
      </c>
      <c r="G1497">
        <v>39.26</v>
      </c>
      <c r="H1497">
        <v>7</v>
      </c>
      <c r="I1497">
        <v>6.37</v>
      </c>
    </row>
    <row r="1498" spans="1:9" x14ac:dyDescent="0.35">
      <c r="A1498" t="s">
        <v>1776</v>
      </c>
      <c r="B1498" t="s">
        <v>1774</v>
      </c>
      <c r="C1498" t="s">
        <v>34</v>
      </c>
      <c r="D1498" t="s">
        <v>38</v>
      </c>
      <c r="E1498" t="s">
        <v>4</v>
      </c>
      <c r="F1498" t="s">
        <v>24</v>
      </c>
      <c r="G1498">
        <v>306.11</v>
      </c>
      <c r="H1498">
        <v>5</v>
      </c>
      <c r="I1498">
        <v>68.98</v>
      </c>
    </row>
    <row r="1499" spans="1:9" x14ac:dyDescent="0.35">
      <c r="A1499" t="s">
        <v>1777</v>
      </c>
      <c r="B1499" t="s">
        <v>1774</v>
      </c>
      <c r="C1499" t="s">
        <v>26</v>
      </c>
      <c r="D1499" t="s">
        <v>23</v>
      </c>
      <c r="E1499" t="s">
        <v>3</v>
      </c>
      <c r="F1499" t="s">
        <v>49</v>
      </c>
      <c r="G1499">
        <v>45.55</v>
      </c>
      <c r="H1499">
        <v>9</v>
      </c>
      <c r="I1499">
        <v>-1.82</v>
      </c>
    </row>
    <row r="1500" spans="1:9" x14ac:dyDescent="0.35">
      <c r="A1500" t="s">
        <v>1778</v>
      </c>
      <c r="B1500" t="s">
        <v>1774</v>
      </c>
      <c r="C1500" t="s">
        <v>34</v>
      </c>
      <c r="D1500" t="s">
        <v>17</v>
      </c>
      <c r="E1500" t="s">
        <v>3</v>
      </c>
      <c r="F1500" t="s">
        <v>18</v>
      </c>
      <c r="G1500">
        <v>571.9</v>
      </c>
      <c r="H1500">
        <v>6</v>
      </c>
      <c r="I1500">
        <v>-66.760000000000005</v>
      </c>
    </row>
    <row r="1501" spans="1:9" x14ac:dyDescent="0.35">
      <c r="A1501" t="s">
        <v>1779</v>
      </c>
      <c r="B1501" t="s">
        <v>1774</v>
      </c>
      <c r="C1501" t="s">
        <v>16</v>
      </c>
      <c r="D1501" t="s">
        <v>23</v>
      </c>
      <c r="E1501" t="s">
        <v>4</v>
      </c>
      <c r="F1501" t="s">
        <v>24</v>
      </c>
      <c r="G1501">
        <v>297.29000000000002</v>
      </c>
      <c r="H1501">
        <v>6</v>
      </c>
      <c r="I1501">
        <v>-22.06</v>
      </c>
    </row>
  </sheetData>
  <pageMargins left="0.75" right="0.75" top="1" bottom="1" header="0.5" footer="0.5"/>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AI_Dashboard</vt:lpstr>
      <vt:lpstr>Raw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Godday Mbah</cp:lastModifiedBy>
  <dcterms:created xsi:type="dcterms:W3CDTF">2026-09-10T02:05:55Z</dcterms:created>
  <dcterms:modified xsi:type="dcterms:W3CDTF">2026-09-10T03:10:57Z</dcterms:modified>
</cp:coreProperties>
</file>